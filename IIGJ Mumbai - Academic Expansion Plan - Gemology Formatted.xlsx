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tanus\Downloads\"/>
    </mc:Choice>
  </mc:AlternateContent>
  <xr:revisionPtr revIDLastSave="0" documentId="8_{01855F93-2CA1-4A3E-A499-D6A6E10D848D}" xr6:coauthVersionLast="47" xr6:coauthVersionMax="47" xr10:uidLastSave="{00000000-0000-0000-0000-000000000000}"/>
  <bookViews>
    <workbookView xWindow="-108" yWindow="-108" windowWidth="23256" windowHeight="12456" xr2:uid="{00000000-000D-0000-FFFF-FFFF00000000}"/>
  </bookViews>
  <sheets>
    <sheet name="Department of Gemmology_Form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1" l="1"/>
  <c r="E42" i="1"/>
  <c r="F42" i="1" s="1"/>
  <c r="E41" i="1"/>
  <c r="E40" i="1"/>
  <c r="E39" i="1"/>
  <c r="E38" i="1"/>
  <c r="F38" i="1" s="1"/>
  <c r="E36" i="1"/>
  <c r="E35" i="1"/>
  <c r="E34" i="1"/>
  <c r="F33" i="1"/>
  <c r="F34" i="1"/>
  <c r="F35" i="1"/>
  <c r="F36" i="1"/>
  <c r="F37" i="1"/>
  <c r="F39" i="1"/>
  <c r="F40" i="1"/>
  <c r="F41" i="1"/>
  <c r="F32" i="1"/>
  <c r="F31" i="1"/>
  <c r="F26" i="1"/>
  <c r="F27" i="1"/>
  <c r="F28" i="1"/>
  <c r="F25" i="1"/>
  <c r="F24" i="1"/>
  <c r="E33" i="1"/>
  <c r="F13" i="1"/>
  <c r="F14" i="1"/>
  <c r="F15" i="1"/>
  <c r="F16" i="1"/>
  <c r="F17" i="1"/>
  <c r="F18" i="1"/>
  <c r="F19" i="1"/>
  <c r="F20" i="1"/>
  <c r="F21" i="1"/>
  <c r="F22" i="1"/>
  <c r="F12" i="1"/>
  <c r="F11" i="1"/>
  <c r="E32" i="1"/>
  <c r="E31" i="1"/>
  <c r="E28" i="1"/>
  <c r="E27" i="1"/>
  <c r="E26" i="1"/>
  <c r="E25" i="1"/>
  <c r="E24" i="1"/>
  <c r="E22" i="1"/>
  <c r="E21" i="1"/>
  <c r="E20" i="1"/>
  <c r="E19" i="1"/>
  <c r="E18" i="1"/>
  <c r="E17" i="1"/>
  <c r="E15" i="1"/>
  <c r="E14" i="1"/>
  <c r="E13" i="1"/>
  <c r="E12" i="1"/>
  <c r="E11" i="1"/>
  <c r="C64" i="1" l="1"/>
  <c r="C8" i="1" l="1"/>
  <c r="C56" i="1"/>
  <c r="D35" i="1"/>
  <c r="D33" i="1"/>
  <c r="D32" i="1"/>
  <c r="D42" i="1"/>
  <c r="D41" i="1"/>
  <c r="D39" i="1"/>
  <c r="D38" i="1"/>
  <c r="D36" i="1"/>
  <c r="D37" i="1"/>
  <c r="D21" i="1"/>
  <c r="D12" i="1"/>
  <c r="D11" i="1"/>
  <c r="C3" i="1"/>
  <c r="C5" i="1"/>
  <c r="C59" i="1" l="1"/>
  <c r="C60" i="1" s="1"/>
  <c r="C65" i="1"/>
  <c r="C61" i="1"/>
  <c r="C62" i="1" s="1"/>
  <c r="D24" i="1"/>
  <c r="D25" i="1"/>
  <c r="D26" i="1"/>
  <c r="D27" i="1"/>
  <c r="D28" i="1"/>
  <c r="D13" i="1"/>
  <c r="D14" i="1"/>
  <c r="D15" i="1"/>
  <c r="D16" i="1"/>
  <c r="D17" i="1"/>
  <c r="D18" i="1"/>
  <c r="D19" i="1"/>
  <c r="D20" i="1"/>
  <c r="D22" i="1"/>
  <c r="C57" i="1" l="1"/>
  <c r="C58" i="1" s="1"/>
</calcChain>
</file>

<file path=xl/sharedStrings.xml><?xml version="1.0" encoding="utf-8"?>
<sst xmlns="http://schemas.openxmlformats.org/spreadsheetml/2006/main" count="132" uniqueCount="109">
  <si>
    <t>Number of Students</t>
  </si>
  <si>
    <t>Class Requirements with spare</t>
  </si>
  <si>
    <t>2+3 Spares</t>
  </si>
  <si>
    <t>Gemmology/Diamond Grading Lab Size ideally should not exceed more than 25 for effective training and daily diamonds/gemstones stock tally.</t>
  </si>
  <si>
    <t>Singular Instruments</t>
  </si>
  <si>
    <t>Instruments per Student</t>
  </si>
  <si>
    <t>Shared Instruments Required</t>
  </si>
  <si>
    <t>Room Preparation</t>
  </si>
  <si>
    <t xml:space="preserve">Room sealed; all vents/windows/holes eliminated or permanently sealed. </t>
  </si>
  <si>
    <t xml:space="preserve">Student per Table </t>
  </si>
  <si>
    <t>Faculty Required (1 Faculty for 25 Students)</t>
  </si>
  <si>
    <t>Instrument Name</t>
  </si>
  <si>
    <t>Type</t>
  </si>
  <si>
    <t>Specification</t>
  </si>
  <si>
    <t>Quantity</t>
  </si>
  <si>
    <t>Total in Lakhs</t>
  </si>
  <si>
    <t>Remarks</t>
  </si>
  <si>
    <t>Per Student Resources</t>
  </si>
  <si>
    <t>Chair</t>
  </si>
  <si>
    <t>fixed legs, no wheels, and no hollow or hidden spaces where diamonds could be hidden or jammed.</t>
  </si>
  <si>
    <t>Table</t>
  </si>
  <si>
    <t>3 feet by 2 feet, with a border cover. Fixed legs, no hiding spots, cable-managed electrical with 6 individually switched outlets</t>
  </si>
  <si>
    <t xml:space="preserve">Table Lamp </t>
  </si>
  <si>
    <t>Accessories</t>
  </si>
  <si>
    <t>White Daylight Equivalent Fluorescent Tube Light, Big Size</t>
  </si>
  <si>
    <t>Liveridge Guage Meter</t>
  </si>
  <si>
    <t>Not digital, manual pocket size 20 mm</t>
  </si>
  <si>
    <t>Ultra White Diamond Gemstone Sorting Color Grade Tray Grooved Plastic Tray</t>
  </si>
  <si>
    <t>Credit Card Size</t>
  </si>
  <si>
    <t>Maglite Torch</t>
  </si>
  <si>
    <t>Full Spectrum</t>
  </si>
  <si>
    <t>We have not yet ordered, sourced, tested, or researched a suitable full-spectrum Maglite, either in person or online. Until then, we are dependent on fibre optic lighting. To compensate, we may need to increase the quantity of fibre optic lights. One fibre optic light may be shared between up to five students.</t>
  </si>
  <si>
    <t>Blue Velvet Tray</t>
  </si>
  <si>
    <t xml:space="preserve">	Diamond Assortment Tray</t>
  </si>
  <si>
    <t>Titanium Tweezer</t>
  </si>
  <si>
    <t>Medium or Large, Titanium, without Locking, with Grooves</t>
  </si>
  <si>
    <t>Tweezer</t>
  </si>
  <si>
    <t>Medium or Large, Locking with Grooves</t>
  </si>
  <si>
    <t xml:space="preserve">Diamond and Gemmology cloth </t>
  </si>
  <si>
    <t>Both sides soft</t>
  </si>
  <si>
    <t>Gem Scoop</t>
  </si>
  <si>
    <t>Stainless Steel Gem Shovels (Pack of 10)</t>
  </si>
  <si>
    <t>We havent ordered this before, the price is from - https://sachi.store/stainless-steel-gem-shovels-pack-of-10.html</t>
  </si>
  <si>
    <t>10X Triplet Loupe</t>
  </si>
  <si>
    <t>18mm, 10X Magnification, Triplet</t>
  </si>
  <si>
    <t>Instruments Per Student</t>
  </si>
  <si>
    <t xml:space="preserve">Dichroscope 	London </t>
  </si>
  <si>
    <t>Instruments</t>
  </si>
  <si>
    <t xml:space="preserve">London </t>
  </si>
  <si>
    <t>Fable Polariscope</t>
  </si>
  <si>
    <t>with conoscope, Fable Make</t>
  </si>
  <si>
    <t xml:space="preserve">Spectroscope </t>
  </si>
  <si>
    <t xml:space="preserve">Diffraction Grating </t>
  </si>
  <si>
    <t>Fable FGR003 CZ Refractometer</t>
  </si>
  <si>
    <t xml:space="preserve">Fable FGR003 CZ </t>
  </si>
  <si>
    <t>Diamond Grading and Gemmology Microscope</t>
  </si>
  <si>
    <t>GIA® Gemolite® NXT Professional  ($6,995)</t>
  </si>
  <si>
    <t>All Microscopes will require Annual Maintenance Contract</t>
  </si>
  <si>
    <t>Annual Maintenance Contract</t>
  </si>
  <si>
    <t>For all Microscopes incl. Faculty's</t>
  </si>
  <si>
    <t>For all 66 microscopes (calculated at 5% per year)</t>
  </si>
  <si>
    <t>Shared Resources</t>
  </si>
  <si>
    <t>Trinocular Microscope for Faculty</t>
  </si>
  <si>
    <t>Lab Requirement</t>
  </si>
  <si>
    <t>GIA Gemolite® NXT, Photomicroscope  ($8,495)</t>
  </si>
  <si>
    <t>This allows us to teach larger batches of students by projecting a live feed from the microscope. The images and videos can also be recorded to create our own teaching materials.</t>
  </si>
  <si>
    <t>Faculty Chair</t>
  </si>
  <si>
    <t>Standard IIGJ Faculty Chair</t>
  </si>
  <si>
    <t>Faculty Desk</t>
  </si>
  <si>
    <t>6 Feet by 2 Feet. Fixed legs, no hiding spots, cable-managed electrical with 6 individually switched outlets</t>
  </si>
  <si>
    <t>Sound System</t>
  </si>
  <si>
    <t>Ceiling/wall-mounted speakers, amplifier/mixer, wireless instructor mic, optional student mics, AV input, volume/EQ control for 60 students</t>
  </si>
  <si>
    <t>UV Machine</t>
  </si>
  <si>
    <t>LWUV of 365nm and SWUV of 254nm, Metal</t>
  </si>
  <si>
    <t xml:space="preserve">Diamond Weighing Scale </t>
  </si>
  <si>
    <t>Digital Scale, Sartorius Brand 600/0.001ct</t>
  </si>
  <si>
    <t>Specific Gravity Density Machine</t>
  </si>
  <si>
    <t>Citizen or Sartorius, Professional Grade</t>
  </si>
  <si>
    <t>We have not yet identified a professional-grade specific gravity density kit suitable for a gemmological laboratory. Such equipment may require special procurement, and pricing has therefore not been included. Kits currently available online are generally lower-grade or portable and are not suitable for student laboratory use.</t>
  </si>
  <si>
    <t xml:space="preserve">Fibre Optic Light </t>
  </si>
  <si>
    <t>Fable Optical Fiber Light 50W</t>
  </si>
  <si>
    <t>Diamond Sieve Sets</t>
  </si>
  <si>
    <t>Full Set of 75 Plates, 80 mm</t>
  </si>
  <si>
    <t>We havent ordered this before, the price is from - https://sachi.store/diamond-seives.html</t>
  </si>
  <si>
    <t>Faculty Laptop</t>
  </si>
  <si>
    <t>15+inch, 16 GB RAM, 512 GB SSD, and Intel Core i5 / Ryzen 7 CPUs</t>
  </si>
  <si>
    <t>Any mid to top range laptop to project from microscope and course material simulantaneously. This figure is an estimate. Please discuss with Vaibhav sir at IT Department before purchase.</t>
  </si>
  <si>
    <t>LED Projector</t>
  </si>
  <si>
    <t>LED Projector size is based on suitable to the classrooms area or size.</t>
  </si>
  <si>
    <t xml:space="preserve">LED Interactive TV or Projector of suitable size. This figure is an estimate. Please discuss with Vaibhav sir at IT Department before purchase. More projectors are needed for a larger class. </t>
  </si>
  <si>
    <t>Secured Safe</t>
  </si>
  <si>
    <t>Godrej Matrix 3016 (94L) V6 KL Coffee Brown</t>
  </si>
  <si>
    <t>We havent ordered this before, I have taken a sample from internet. The price is from - https://shop.godrejsecure.com/products/Godrej-Matrix-3016-(94L)-V6-KL-Coffee-Brown/913</t>
  </si>
  <si>
    <t xml:space="preserve">Diamonds (above 0.30ct, certified, laser inscribes, all colours, all clariities, all cuts, all fancy cuts, sufficient quantities) and coloured gemstone stock (Top 50 gemstones of India, in sufficient quantities for large batches, in sufficiently big sizes, of all qualities, ) are not included in the final costing. This is MAJOR EXPENSE/Donation. All other infrastructural expenses excluded. </t>
  </si>
  <si>
    <t>Proposal Idea - Each student will receive an IIGJ branded kit containing basic diamond grading instruments, including a titanium tweezer, diamond and gemmology cloth, a 10× triplet loupe, and three pens (red, green, and blue). This will be a yearly expense but entirely purchased by students or included in the fees.</t>
  </si>
  <si>
    <t>Approximate Costing</t>
  </si>
  <si>
    <t>Description</t>
  </si>
  <si>
    <t>Cost in Lakhs</t>
  </si>
  <si>
    <t>Comments</t>
  </si>
  <si>
    <t>Class Strength</t>
  </si>
  <si>
    <t>All Student Resources</t>
  </si>
  <si>
    <t>2 Faculty Sets, 3 Spares Incl.</t>
  </si>
  <si>
    <t>All Instruments Cost</t>
  </si>
  <si>
    <t>Per Student Instruments</t>
  </si>
  <si>
    <t>Per Student Shared Resources</t>
  </si>
  <si>
    <t>Grand Total</t>
  </si>
  <si>
    <t>Grand Total per student</t>
  </si>
  <si>
    <r>
      <rPr>
        <sz val="12"/>
        <color theme="0"/>
        <rFont val="Arial Nova"/>
        <family val="2"/>
      </rPr>
      <t>More fibre optic lights have been included to make up for the unavailability of a full-spectrum Maglite torch.</t>
    </r>
    <r>
      <rPr>
        <sz val="12"/>
        <color rgb="FFFF0000"/>
        <rFont val="Arial Nova"/>
      </rPr>
      <t xml:space="preserve"> </t>
    </r>
    <r>
      <rPr>
        <sz val="12"/>
        <color rgb="FF000000"/>
        <rFont val="Arial Nova"/>
      </rPr>
      <t>We havent ordered this before, the price is from https://sachi.store/fable-optical-fiber-light-50w.html</t>
    </r>
  </si>
  <si>
    <t>Unit Price (In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</si>
</sst>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5" formatCode="#,##0.000"/>
    <numFmt numFmtId="166" formatCode="#,##0.0000"/>
    <numFmt numFmtId="167" formatCode="#,##0.00000"/>
    <numFmt numFmtId="168" formatCode="0.000"/>
    <numFmt numFmtId="169" formatCode="0.0000"/>
    <numFmt numFmtId="170" formatCode="0.00000"/>
    <numFmt numFmtId="172" formatCode="#,##0.0"/>
    <numFmt numFmtId="173" formatCode="_ &quot;₹&quot;\ * #,##0.0000_ ;_ &quot;₹&quot;\ * \-#,##0.0000_ ;_ &quot;₹&quot;\ * &quot;-&quot;??_ ;_ @_ "/>
  </numFmts>
  <fonts count="15" x14ac:knownFonts="1">
    <font>
      <sz val="11"/>
      <color theme="1"/>
      <name val="Calibri"/>
      <family val="2"/>
      <scheme val="minor"/>
    </font>
    <font>
      <u/>
      <sz val="11"/>
      <color theme="10"/>
      <name val="Calibri"/>
      <family val="2"/>
      <scheme val="minor"/>
    </font>
    <font>
      <sz val="12"/>
      <color theme="1"/>
      <name val="Arial Nova"/>
    </font>
    <font>
      <b/>
      <sz val="12"/>
      <color theme="1"/>
      <name val="Arial Nova"/>
    </font>
    <font>
      <b/>
      <sz val="12"/>
      <color rgb="FF000000"/>
      <name val="Arial Nova"/>
    </font>
    <font>
      <b/>
      <sz val="12"/>
      <color rgb="FFFF0000"/>
      <name val="Arial Nova"/>
    </font>
    <font>
      <sz val="12"/>
      <color rgb="FFFF0000"/>
      <name val="Arial Nova"/>
    </font>
    <font>
      <sz val="12"/>
      <color rgb="FF000000"/>
      <name val="Arial Nova"/>
    </font>
    <font>
      <u/>
      <sz val="12"/>
      <color theme="10"/>
      <name val="Arial Nova"/>
    </font>
    <font>
      <b/>
      <sz val="12"/>
      <color theme="0"/>
      <name val="Arial Nova"/>
    </font>
    <font>
      <sz val="12"/>
      <color theme="0"/>
      <name val="Arial Nova"/>
    </font>
    <font>
      <b/>
      <sz val="12"/>
      <color theme="0"/>
      <name val="Arial Nova"/>
      <family val="2"/>
    </font>
    <font>
      <sz val="12"/>
      <color theme="0"/>
      <name val="Arial Nova"/>
      <family val="2"/>
    </font>
    <font>
      <sz val="12"/>
      <color theme="1"/>
      <name val="Arial Nova"/>
      <family val="2"/>
    </font>
    <font>
      <b/>
      <sz val="12"/>
      <color theme="1"/>
      <name val="Arial Nova"/>
      <family val="2"/>
    </font>
  </fonts>
  <fills count="10">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rgb="FF92D05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00B050"/>
        <bgColor indexed="64"/>
      </patternFill>
    </fill>
    <fill>
      <patternFill patternType="solid">
        <fgColor rgb="FF0070C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s>
  <cellStyleXfs count="2">
    <xf numFmtId="0" fontId="0" fillId="0" borderId="0"/>
    <xf numFmtId="0" fontId="1" fillId="0" borderId="0" applyNumberFormat="0" applyFill="0" applyBorder="0" applyAlignment="0" applyProtection="0"/>
  </cellStyleXfs>
  <cellXfs count="87">
    <xf numFmtId="0" fontId="0" fillId="0" borderId="0" xfId="0"/>
    <xf numFmtId="0" fontId="2" fillId="0" borderId="0" xfId="0" applyFont="1" applyAlignment="1">
      <alignment horizontal="center" vertical="center" wrapText="1"/>
    </xf>
    <xf numFmtId="2" fontId="2" fillId="0" borderId="0" xfId="0" applyNumberFormat="1" applyFont="1" applyAlignment="1">
      <alignment horizontal="center" vertical="center" wrapText="1"/>
    </xf>
    <xf numFmtId="0" fontId="2" fillId="0" borderId="0" xfId="0" applyFont="1" applyAlignment="1">
      <alignment vertical="center" wrapText="1"/>
    </xf>
    <xf numFmtId="0" fontId="9" fillId="3"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2" fillId="5" borderId="3" xfId="0" applyFont="1" applyFill="1" applyBorder="1" applyAlignment="1">
      <alignment horizontal="center" vertical="center" wrapText="1"/>
    </xf>
    <xf numFmtId="3" fontId="2" fillId="5" borderId="3"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3" fontId="6" fillId="5"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5" fillId="6" borderId="3" xfId="0" applyFont="1" applyFill="1" applyBorder="1" applyAlignment="1">
      <alignment horizontal="center" vertical="center" wrapText="1"/>
    </xf>
    <xf numFmtId="3" fontId="6" fillId="6" borderId="3"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1" fontId="2" fillId="5" borderId="3" xfId="0" applyNumberFormat="1" applyFont="1" applyFill="1" applyBorder="1" applyAlignment="1">
      <alignment horizontal="center" vertical="center" wrapText="1"/>
    </xf>
    <xf numFmtId="1" fontId="2" fillId="6" borderId="3" xfId="0" applyNumberFormat="1" applyFont="1" applyFill="1" applyBorder="1" applyAlignment="1">
      <alignment horizontal="center" vertical="center" wrapText="1"/>
    </xf>
    <xf numFmtId="0" fontId="5" fillId="0" borderId="0" xfId="0" applyFont="1" applyAlignment="1">
      <alignment horizontal="center" vertical="center" wrapText="1"/>
    </xf>
    <xf numFmtId="0" fontId="9" fillId="3" borderId="2" xfId="0"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10" fillId="9" borderId="6" xfId="0" applyFont="1" applyFill="1" applyBorder="1" applyAlignment="1">
      <alignment horizontal="center" vertical="center" wrapText="1"/>
    </xf>
    <xf numFmtId="44" fontId="10" fillId="9" borderId="6" xfId="0" applyNumberFormat="1" applyFont="1" applyFill="1" applyBorder="1" applyAlignment="1">
      <alignment horizontal="center" vertical="center" wrapText="1"/>
    </xf>
    <xf numFmtId="0" fontId="3" fillId="7" borderId="6" xfId="0" applyFont="1" applyFill="1" applyBorder="1" applyAlignment="1">
      <alignment horizontal="center" vertical="center" wrapText="1"/>
    </xf>
    <xf numFmtId="44" fontId="3" fillId="7" borderId="6" xfId="0" applyNumberFormat="1" applyFont="1" applyFill="1" applyBorder="1" applyAlignment="1">
      <alignment horizontal="center" vertical="center" wrapText="1"/>
    </xf>
    <xf numFmtId="0" fontId="3" fillId="2" borderId="6" xfId="0" applyFont="1" applyFill="1" applyBorder="1" applyAlignment="1">
      <alignment horizontal="center" vertical="center" wrapText="1"/>
    </xf>
    <xf numFmtId="44" fontId="3" fillId="2" borderId="6" xfId="0" applyNumberFormat="1" applyFont="1" applyFill="1" applyBorder="1" applyAlignment="1">
      <alignment horizontal="center" vertical="center" wrapText="1"/>
    </xf>
    <xf numFmtId="0" fontId="3" fillId="8" borderId="6" xfId="0" applyFont="1" applyFill="1" applyBorder="1" applyAlignment="1">
      <alignment horizontal="center" vertical="center" wrapText="1"/>
    </xf>
    <xf numFmtId="44" fontId="3" fillId="8" borderId="6" xfId="0" applyNumberFormat="1" applyFont="1" applyFill="1" applyBorder="1" applyAlignment="1">
      <alignment horizontal="center" vertical="center" wrapText="1"/>
    </xf>
    <xf numFmtId="0" fontId="2" fillId="0" borderId="6" xfId="0" applyFont="1" applyBorder="1" applyAlignment="1">
      <alignment horizontal="center" vertical="center" wrapText="1"/>
    </xf>
    <xf numFmtId="0" fontId="11" fillId="5" borderId="3" xfId="0" applyFont="1" applyFill="1" applyBorder="1" applyAlignment="1">
      <alignment horizontal="center" vertical="center" wrapText="1"/>
    </xf>
    <xf numFmtId="0" fontId="9" fillId="3" borderId="0" xfId="0" applyFont="1" applyFill="1" applyAlignment="1">
      <alignment horizontal="center" vertical="center" wrapText="1"/>
    </xf>
    <xf numFmtId="0" fontId="2" fillId="6" borderId="3" xfId="0" applyFont="1" applyFill="1" applyBorder="1" applyAlignment="1">
      <alignment vertical="center" wrapText="1"/>
    </xf>
    <xf numFmtId="0" fontId="6" fillId="6" borderId="3" xfId="0" applyFont="1" applyFill="1" applyBorder="1" applyAlignment="1">
      <alignment vertical="center" wrapText="1"/>
    </xf>
    <xf numFmtId="0" fontId="8" fillId="6" borderId="3" xfId="1" applyFont="1" applyFill="1" applyBorder="1" applyAlignment="1">
      <alignment vertical="center" wrapText="1"/>
    </xf>
    <xf numFmtId="0" fontId="3" fillId="2" borderId="5" xfId="0" applyFont="1" applyFill="1" applyBorder="1" applyAlignment="1">
      <alignment vertical="center" wrapText="1"/>
    </xf>
    <xf numFmtId="0" fontId="2" fillId="2" borderId="3" xfId="0" applyFont="1" applyFill="1" applyBorder="1" applyAlignment="1">
      <alignment vertical="center" wrapText="1"/>
    </xf>
    <xf numFmtId="0" fontId="3" fillId="5" borderId="5" xfId="0" applyFont="1" applyFill="1" applyBorder="1" applyAlignment="1">
      <alignment vertical="center" wrapText="1"/>
    </xf>
    <xf numFmtId="0" fontId="2" fillId="5" borderId="3" xfId="0" applyFont="1" applyFill="1" applyBorder="1" applyAlignment="1">
      <alignment vertical="center" wrapText="1"/>
    </xf>
    <xf numFmtId="0" fontId="12" fillId="5" borderId="3" xfId="0" applyFont="1" applyFill="1" applyBorder="1" applyAlignment="1">
      <alignment vertical="center" wrapText="1"/>
    </xf>
    <xf numFmtId="0" fontId="13" fillId="5" borderId="3" xfId="0" applyFont="1" applyFill="1" applyBorder="1" applyAlignment="1">
      <alignment vertical="center" wrapText="1"/>
    </xf>
    <xf numFmtId="0" fontId="8" fillId="5" borderId="3" xfId="1" applyFont="1" applyFill="1" applyBorder="1" applyAlignment="1">
      <alignment vertical="center" wrapText="1"/>
    </xf>
    <xf numFmtId="0" fontId="2" fillId="5" borderId="4" xfId="0" applyFont="1" applyFill="1" applyBorder="1" applyAlignment="1">
      <alignment vertical="center" wrapText="1"/>
    </xf>
    <xf numFmtId="0" fontId="3" fillId="4" borderId="6" xfId="0" applyFont="1" applyFill="1" applyBorder="1" applyAlignment="1">
      <alignment horizontal="center" vertical="center" wrapText="1"/>
    </xf>
    <xf numFmtId="1" fontId="3" fillId="0" borderId="6" xfId="0" applyNumberFormat="1" applyFont="1" applyBorder="1" applyAlignment="1">
      <alignment horizontal="center" vertical="center" wrapText="1"/>
    </xf>
    <xf numFmtId="0" fontId="11" fillId="3" borderId="3" xfId="0" applyFont="1" applyFill="1" applyBorder="1" applyAlignment="1">
      <alignment horizontal="center" vertical="center" wrapText="1"/>
    </xf>
    <xf numFmtId="4" fontId="2" fillId="6" borderId="3" xfId="0" applyNumberFormat="1" applyFont="1" applyFill="1" applyBorder="1" applyAlignment="1">
      <alignment horizontal="center" vertical="center" wrapText="1"/>
    </xf>
    <xf numFmtId="165" fontId="2" fillId="6" borderId="3" xfId="0" applyNumberFormat="1" applyFont="1" applyFill="1" applyBorder="1" applyAlignment="1">
      <alignment horizontal="center" vertical="center" wrapText="1"/>
    </xf>
    <xf numFmtId="166" fontId="2" fillId="6" borderId="3" xfId="0" applyNumberFormat="1" applyFont="1" applyFill="1" applyBorder="1" applyAlignment="1">
      <alignment horizontal="center" vertical="center" wrapText="1"/>
    </xf>
    <xf numFmtId="167" fontId="2" fillId="6" borderId="3" xfId="0" applyNumberFormat="1" applyFont="1" applyFill="1" applyBorder="1" applyAlignment="1">
      <alignment horizontal="center" vertical="center" wrapText="1"/>
    </xf>
    <xf numFmtId="2" fontId="2" fillId="6" borderId="3" xfId="0" applyNumberFormat="1" applyFont="1" applyFill="1" applyBorder="1" applyAlignment="1">
      <alignment horizontal="center" vertical="center" wrapText="1"/>
    </xf>
    <xf numFmtId="2" fontId="2" fillId="2" borderId="3" xfId="0" applyNumberFormat="1" applyFont="1" applyFill="1" applyBorder="1" applyAlignment="1">
      <alignment horizontal="center" vertical="center" wrapText="1"/>
    </xf>
    <xf numFmtId="2" fontId="2" fillId="5" borderId="3" xfId="0" applyNumberFormat="1" applyFont="1" applyFill="1" applyBorder="1" applyAlignment="1">
      <alignment horizontal="center" vertical="center" wrapText="1"/>
    </xf>
    <xf numFmtId="165" fontId="2" fillId="2" borderId="3" xfId="0" applyNumberFormat="1" applyFont="1" applyFill="1" applyBorder="1" applyAlignment="1">
      <alignment horizontal="center" vertical="center" wrapText="1"/>
    </xf>
    <xf numFmtId="166" fontId="2" fillId="2" borderId="3" xfId="0" applyNumberFormat="1" applyFont="1" applyFill="1" applyBorder="1" applyAlignment="1">
      <alignment horizontal="center" vertical="center" wrapText="1"/>
    </xf>
    <xf numFmtId="4" fontId="2" fillId="5" borderId="3" xfId="0" applyNumberFormat="1" applyFont="1" applyFill="1" applyBorder="1" applyAlignment="1">
      <alignment horizontal="center" vertical="center" wrapText="1"/>
    </xf>
    <xf numFmtId="167" fontId="2" fillId="5" borderId="3" xfId="0" applyNumberFormat="1" applyFont="1" applyFill="1" applyBorder="1" applyAlignment="1">
      <alignment horizontal="center" vertical="center" wrapText="1"/>
    </xf>
    <xf numFmtId="168" fontId="2" fillId="6" borderId="3" xfId="0" applyNumberFormat="1" applyFont="1" applyFill="1" applyBorder="1" applyAlignment="1">
      <alignment horizontal="center" vertical="center" wrapText="1"/>
    </xf>
    <xf numFmtId="169" fontId="2" fillId="6" borderId="3" xfId="0" applyNumberFormat="1" applyFont="1" applyFill="1" applyBorder="1" applyAlignment="1">
      <alignment horizontal="center" vertical="center" wrapText="1"/>
    </xf>
    <xf numFmtId="170" fontId="2" fillId="6" borderId="3" xfId="0" applyNumberFormat="1" applyFont="1" applyFill="1" applyBorder="1" applyAlignment="1">
      <alignment horizontal="center" vertical="center" wrapText="1"/>
    </xf>
    <xf numFmtId="0" fontId="10" fillId="9"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5" fillId="0" borderId="0" xfId="0" applyFont="1" applyAlignment="1">
      <alignment horizontal="center" vertical="center" wrapText="1"/>
    </xf>
    <xf numFmtId="0" fontId="14" fillId="0" borderId="6"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168" fontId="2" fillId="2" borderId="3" xfId="0" applyNumberFormat="1" applyFont="1" applyFill="1" applyBorder="1" applyAlignment="1">
      <alignment horizontal="center" vertical="center" wrapText="1"/>
    </xf>
    <xf numFmtId="169" fontId="2" fillId="2" borderId="3" xfId="0" applyNumberFormat="1" applyFont="1" applyFill="1" applyBorder="1" applyAlignment="1">
      <alignment horizontal="center" vertical="center" wrapText="1"/>
    </xf>
    <xf numFmtId="172" fontId="2" fillId="5" borderId="3" xfId="0" applyNumberFormat="1" applyFont="1" applyFill="1" applyBorder="1" applyAlignment="1">
      <alignment horizontal="center" vertical="center" wrapText="1"/>
    </xf>
    <xf numFmtId="165" fontId="2" fillId="5" borderId="3" xfId="0" applyNumberFormat="1" applyFont="1" applyFill="1" applyBorder="1" applyAlignment="1">
      <alignment horizontal="center" vertical="center" wrapText="1"/>
    </xf>
    <xf numFmtId="165" fontId="2" fillId="5" borderId="5" xfId="0" applyNumberFormat="1" applyFont="1" applyFill="1" applyBorder="1" applyAlignment="1">
      <alignment horizontal="center" vertical="center" wrapText="1"/>
    </xf>
    <xf numFmtId="173" fontId="10" fillId="9" borderId="6" xfId="0" applyNumberFormat="1" applyFont="1" applyFill="1" applyBorder="1" applyAlignment="1">
      <alignment horizontal="center" vertical="center" wrapText="1"/>
    </xf>
    <xf numFmtId="0" fontId="3" fillId="6" borderId="9" xfId="0" applyFont="1" applyFill="1" applyBorder="1" applyAlignment="1">
      <alignment horizontal="left" vertical="center" wrapText="1"/>
    </xf>
    <xf numFmtId="0" fontId="5" fillId="6" borderId="9"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5" borderId="9"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3" fillId="5" borderId="5" xfId="0" applyFont="1" applyFill="1" applyBorder="1" applyAlignment="1">
      <alignment horizontal="left" vertical="center" wrapText="1"/>
    </xf>
  </cellXfs>
  <cellStyles count="2">
    <cellStyle name="Hyperlink" xfId="1" builtinId="8"/>
    <cellStyle name="Normal" xfId="0" builtinId="0"/>
  </cellStyles>
  <dxfs count="10">
    <dxf>
      <font>
        <b val="0"/>
        <i val="0"/>
        <strike val="0"/>
        <condense val="0"/>
        <extend val="0"/>
        <outline val="0"/>
        <shadow val="0"/>
        <u val="none"/>
        <vertAlign val="baseline"/>
        <sz val="12"/>
        <color theme="1"/>
        <name val="Arial Nova"/>
        <scheme val="none"/>
      </font>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Arial Nova"/>
        <scheme val="none"/>
      </font>
      <numFmt numFmtId="34" formatCode="_ &quot;₹&quot;\ * #,##0.00_ ;_ &quot;₹&quot;\ * \-#,##0.00_ ;_ &quot;₹&quot;\ * &quot;-&quot;??_ ;_ @_ "/>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Arial Nova"/>
        <scheme val="none"/>
      </font>
      <numFmt numFmtId="3" formatCode="#,##0"/>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2"/>
        <color theme="1"/>
        <name val="Arial Nova"/>
        <scheme val="none"/>
      </font>
      <numFmt numFmtId="1" formatCode="0"/>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i val="0"/>
        <strike val="0"/>
        <condense val="0"/>
        <extend val="0"/>
        <outline val="0"/>
        <shadow val="0"/>
        <u val="none"/>
        <vertAlign val="baseline"/>
        <sz val="12"/>
        <color theme="1"/>
        <name val="Arial Nova"/>
        <scheme val="none"/>
      </font>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i val="0"/>
        <strike val="0"/>
        <condense val="0"/>
        <extend val="0"/>
        <outline val="0"/>
        <shadow val="0"/>
        <u val="none"/>
        <vertAlign val="baseline"/>
        <sz val="12"/>
        <color theme="1"/>
        <name val="Arial Nova"/>
        <scheme val="none"/>
      </font>
      <fill>
        <patternFill patternType="solid">
          <fgColor indexed="64"/>
          <bgColor rgb="FF92D050"/>
        </patternFill>
      </fill>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i val="0"/>
        <strike val="0"/>
        <condense val="0"/>
        <extend val="0"/>
        <outline val="0"/>
        <shadow val="0"/>
        <u val="none"/>
        <vertAlign val="baseline"/>
        <sz val="12"/>
        <color theme="1"/>
        <name val="Arial Nova"/>
        <scheme val="none"/>
      </font>
      <fill>
        <patternFill patternType="solid">
          <fgColor indexed="64"/>
          <bgColor rgb="FF92D050"/>
        </patternFill>
      </fill>
      <alignment horizontal="center" vertical="center" textRotation="0" wrapText="1" indent="0" justifyLastLine="0" shrinkToFit="0" readingOrder="0"/>
      <border diagonalUp="0" diagonalDown="0">
        <left/>
        <right/>
        <top style="thin">
          <color rgb="FF000000"/>
        </top>
        <bottom/>
        <vertical/>
        <horizontal/>
      </border>
    </dxf>
    <dxf>
      <border outline="0">
        <left style="thin">
          <color rgb="FF000000"/>
        </left>
        <right style="thin">
          <color rgb="FF000000"/>
        </right>
      </border>
    </dxf>
    <dxf>
      <font>
        <b val="0"/>
        <i val="0"/>
        <strike val="0"/>
        <condense val="0"/>
        <extend val="0"/>
        <outline val="0"/>
        <shadow val="0"/>
        <u val="none"/>
        <vertAlign val="baseline"/>
        <sz val="12"/>
        <color theme="1"/>
        <name val="Arial Nova"/>
        <scheme val="none"/>
      </font>
      <fill>
        <patternFill patternType="solid">
          <fgColor indexed="64"/>
          <bgColor rgb="FF92D050"/>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Arial Nova"/>
        <scheme val="none"/>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6F79AF-E420-4599-935E-3A1D62842448}" name="Table1" displayName="Table1" ref="A9:G42" totalsRowShown="0" headerRowDxfId="9" dataDxfId="8" tableBorderDxfId="7">
  <autoFilter ref="A9:G42" xr:uid="{E56F79AF-E420-4599-935E-3A1D62842448}"/>
  <tableColumns count="7">
    <tableColumn id="1" xr3:uid="{4E922C41-8AFF-441C-BCAF-2B0AED369BA4}" name="Instrument Name" dataDxfId="6"/>
    <tableColumn id="2" xr3:uid="{FA8EA023-F769-4C2D-A6EE-21E37A0EDE10}" name="Type" dataDxfId="5"/>
    <tableColumn id="3" xr3:uid="{73036F4D-AF86-4798-AD92-DDA03CB269F0}" name="Specification" dataDxfId="4"/>
    <tableColumn id="4" xr3:uid="{3BCDC942-F2D6-4CC3-9B3C-0A8AA43D8D58}" name="Quantity" dataDxfId="3"/>
    <tableColumn id="5" xr3:uid="{B201FD39-0CBA-4EA6-91A5-A3D230343D13}" name="Unit Price (In Lakhs)" dataDxfId="2"/>
    <tableColumn id="6" xr3:uid="{37478FF8-2EF3-4962-904F-A5901E2D8106}" name="Total in Lakhs" dataDxfId="1">
      <calculatedColumnFormula>$D10*$E10</calculatedColumnFormula>
    </tableColumn>
    <tableColumn id="7" xr3:uid="{DD98DBCE-CE22-41D7-9A94-F6F238626B19}" name="Remar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achi.store/diamond-seives.html" TargetMode="External"/><Relationship Id="rId1" Type="http://schemas.openxmlformats.org/officeDocument/2006/relationships/hyperlink" Target="https://sachi.store/stainless-steel-gem-shovels-pack-of-1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5"/>
  <sheetViews>
    <sheetView tabSelected="1" topLeftCell="A33" zoomScale="65" zoomScaleNormal="67" workbookViewId="0">
      <selection activeCell="C74" sqref="C74"/>
    </sheetView>
  </sheetViews>
  <sheetFormatPr defaultColWidth="26" defaultRowHeight="15.6" x14ac:dyDescent="0.3"/>
  <cols>
    <col min="1" max="1" width="44.5546875" style="1" customWidth="1"/>
    <col min="2" max="2" width="9.88671875" style="1" hidden="1" customWidth="1"/>
    <col min="3" max="3" width="54.33203125" style="1" customWidth="1"/>
    <col min="4" max="4" width="13" style="1" bestFit="1" customWidth="1"/>
    <col min="5" max="5" width="14.33203125" style="1" bestFit="1" customWidth="1"/>
    <col min="6" max="6" width="20.109375" style="1" customWidth="1"/>
    <col min="7" max="7" width="59.109375" style="1" customWidth="1"/>
    <col min="8" max="16384" width="26" style="1"/>
  </cols>
  <sheetData>
    <row r="1" spans="1:7" x14ac:dyDescent="0.3">
      <c r="A1" s="27" t="s">
        <v>0</v>
      </c>
      <c r="B1" s="27"/>
      <c r="C1" s="27">
        <v>60</v>
      </c>
      <c r="D1" s="36"/>
    </row>
    <row r="2" spans="1:7" ht="15.75" customHeight="1" x14ac:dyDescent="0.3">
      <c r="A2" s="27" t="s">
        <v>1</v>
      </c>
      <c r="B2" s="27"/>
      <c r="C2" s="27">
        <v>65</v>
      </c>
      <c r="D2" s="27" t="s">
        <v>2</v>
      </c>
      <c r="E2" s="70" t="s">
        <v>3</v>
      </c>
      <c r="F2" s="70"/>
      <c r="G2" s="70"/>
    </row>
    <row r="3" spans="1:7" ht="15.75" hidden="1" customHeight="1" x14ac:dyDescent="0.3">
      <c r="A3" s="27" t="s">
        <v>4</v>
      </c>
      <c r="B3" s="27"/>
      <c r="C3" s="36">
        <f>C2</f>
        <v>65</v>
      </c>
      <c r="D3" s="36"/>
      <c r="E3" s="70"/>
      <c r="F3" s="70"/>
      <c r="G3" s="70"/>
    </row>
    <row r="4" spans="1:7" ht="15.75" hidden="1" customHeight="1" x14ac:dyDescent="0.3">
      <c r="A4" s="27" t="s">
        <v>5</v>
      </c>
      <c r="B4" s="27"/>
      <c r="C4" s="36">
        <v>1</v>
      </c>
      <c r="D4" s="36"/>
      <c r="E4" s="70"/>
      <c r="F4" s="70"/>
      <c r="G4" s="70"/>
    </row>
    <row r="5" spans="1:7" ht="15.75" hidden="1" customHeight="1" x14ac:dyDescent="0.3">
      <c r="A5" s="27" t="s">
        <v>6</v>
      </c>
      <c r="B5" s="27"/>
      <c r="C5" s="36">
        <f>C2*C4</f>
        <v>65</v>
      </c>
      <c r="D5" s="36"/>
      <c r="E5" s="70"/>
      <c r="F5" s="70"/>
      <c r="G5" s="70"/>
    </row>
    <row r="6" spans="1:7" ht="30.75" customHeight="1" x14ac:dyDescent="0.3">
      <c r="A6" s="50" t="s">
        <v>7</v>
      </c>
      <c r="B6" s="50"/>
      <c r="C6" s="50" t="s">
        <v>8</v>
      </c>
      <c r="D6" s="36"/>
      <c r="E6" s="70"/>
      <c r="F6" s="70"/>
      <c r="G6" s="70"/>
    </row>
    <row r="7" spans="1:7" x14ac:dyDescent="0.3">
      <c r="A7" s="27" t="s">
        <v>9</v>
      </c>
      <c r="B7" s="27"/>
      <c r="C7" s="27">
        <v>1</v>
      </c>
      <c r="D7" s="36"/>
      <c r="E7" s="70"/>
      <c r="F7" s="70"/>
      <c r="G7" s="70"/>
    </row>
    <row r="8" spans="1:7" ht="31.2" x14ac:dyDescent="0.3">
      <c r="A8" s="27" t="s">
        <v>10</v>
      </c>
      <c r="B8" s="27"/>
      <c r="C8" s="51">
        <f>$C$1/25</f>
        <v>2.4</v>
      </c>
      <c r="D8" s="36"/>
      <c r="E8" s="21"/>
      <c r="F8" s="21"/>
    </row>
    <row r="9" spans="1:7" ht="31.2" x14ac:dyDescent="0.3">
      <c r="A9" s="38" t="s">
        <v>11</v>
      </c>
      <c r="B9" s="22" t="s">
        <v>12</v>
      </c>
      <c r="C9" s="22" t="s">
        <v>13</v>
      </c>
      <c r="D9" s="22" t="s">
        <v>14</v>
      </c>
      <c r="E9" s="52" t="s">
        <v>108</v>
      </c>
      <c r="F9" s="4" t="s">
        <v>15</v>
      </c>
      <c r="G9" s="4" t="s">
        <v>16</v>
      </c>
    </row>
    <row r="10" spans="1:7" x14ac:dyDescent="0.3">
      <c r="A10" s="24" t="s">
        <v>17</v>
      </c>
      <c r="B10" s="24"/>
      <c r="C10" s="24"/>
      <c r="D10" s="24"/>
      <c r="E10" s="24"/>
      <c r="F10" s="24"/>
      <c r="G10" s="24"/>
    </row>
    <row r="11" spans="1:7" ht="54" customHeight="1" x14ac:dyDescent="0.3">
      <c r="A11" s="81" t="s">
        <v>18</v>
      </c>
      <c r="B11" s="14"/>
      <c r="C11" s="14" t="s">
        <v>19</v>
      </c>
      <c r="D11" s="15">
        <f>$C$2</f>
        <v>65</v>
      </c>
      <c r="E11" s="53">
        <f>5000/100000</f>
        <v>0.05</v>
      </c>
      <c r="F11" s="57">
        <f>$D11*$E11</f>
        <v>3.25</v>
      </c>
      <c r="G11" s="39"/>
    </row>
    <row r="12" spans="1:7" ht="46.8" x14ac:dyDescent="0.3">
      <c r="A12" s="81" t="s">
        <v>20</v>
      </c>
      <c r="B12" s="14"/>
      <c r="C12" s="14" t="s">
        <v>21</v>
      </c>
      <c r="D12" s="15">
        <f>$C$2</f>
        <v>65</v>
      </c>
      <c r="E12" s="53">
        <f>35000/100000</f>
        <v>0.35</v>
      </c>
      <c r="F12" s="57">
        <f>$D12*$E12</f>
        <v>22.75</v>
      </c>
      <c r="G12" s="39"/>
    </row>
    <row r="13" spans="1:7" ht="31.2" x14ac:dyDescent="0.3">
      <c r="A13" s="81" t="s">
        <v>22</v>
      </c>
      <c r="B13" s="14" t="s">
        <v>23</v>
      </c>
      <c r="C13" s="14" t="s">
        <v>24</v>
      </c>
      <c r="D13" s="15">
        <f>$C$3</f>
        <v>65</v>
      </c>
      <c r="E13" s="55">
        <f>1850/100000</f>
        <v>1.8499999999999999E-2</v>
      </c>
      <c r="F13" s="65">
        <f t="shared" ref="F13:F22" si="0">$D13*$E13</f>
        <v>1.2024999999999999</v>
      </c>
      <c r="G13" s="39"/>
    </row>
    <row r="14" spans="1:7" ht="31.2" x14ac:dyDescent="0.3">
      <c r="A14" s="81" t="s">
        <v>25</v>
      </c>
      <c r="B14" s="14" t="s">
        <v>23</v>
      </c>
      <c r="C14" s="14" t="s">
        <v>26</v>
      </c>
      <c r="D14" s="15">
        <f t="shared" ref="D14:D22" si="1">$C$3</f>
        <v>65</v>
      </c>
      <c r="E14" s="54">
        <f>1200/100000</f>
        <v>1.2E-2</v>
      </c>
      <c r="F14" s="57">
        <f t="shared" si="0"/>
        <v>0.78</v>
      </c>
      <c r="G14" s="39"/>
    </row>
    <row r="15" spans="1:7" ht="31.2" x14ac:dyDescent="0.3">
      <c r="A15" s="81" t="s">
        <v>27</v>
      </c>
      <c r="B15" s="14" t="s">
        <v>23</v>
      </c>
      <c r="C15" s="14" t="s">
        <v>28</v>
      </c>
      <c r="D15" s="15">
        <f t="shared" si="1"/>
        <v>65</v>
      </c>
      <c r="E15" s="55">
        <f>40/100000</f>
        <v>4.0000000000000002E-4</v>
      </c>
      <c r="F15" s="64">
        <f t="shared" si="0"/>
        <v>2.6000000000000002E-2</v>
      </c>
      <c r="G15" s="39"/>
    </row>
    <row r="16" spans="1:7" ht="93.6" x14ac:dyDescent="0.3">
      <c r="A16" s="82" t="s">
        <v>29</v>
      </c>
      <c r="B16" s="14" t="s">
        <v>23</v>
      </c>
      <c r="C16" s="16" t="s">
        <v>30</v>
      </c>
      <c r="D16" s="15">
        <f t="shared" si="1"/>
        <v>65</v>
      </c>
      <c r="E16" s="17"/>
      <c r="F16" s="57">
        <f t="shared" si="0"/>
        <v>0</v>
      </c>
      <c r="G16" s="40" t="s">
        <v>31</v>
      </c>
    </row>
    <row r="17" spans="1:7" ht="31.2" x14ac:dyDescent="0.3">
      <c r="A17" s="81" t="s">
        <v>32</v>
      </c>
      <c r="B17" s="14" t="s">
        <v>23</v>
      </c>
      <c r="C17" s="14" t="s">
        <v>33</v>
      </c>
      <c r="D17" s="15">
        <f t="shared" si="1"/>
        <v>65</v>
      </c>
      <c r="E17" s="55">
        <f>150/100000</f>
        <v>1.5E-3</v>
      </c>
      <c r="F17" s="65">
        <f t="shared" si="0"/>
        <v>9.7500000000000003E-2</v>
      </c>
      <c r="G17" s="39"/>
    </row>
    <row r="18" spans="1:7" ht="31.2" x14ac:dyDescent="0.3">
      <c r="A18" s="81" t="s">
        <v>34</v>
      </c>
      <c r="B18" s="14" t="s">
        <v>23</v>
      </c>
      <c r="C18" s="14" t="s">
        <v>35</v>
      </c>
      <c r="D18" s="15">
        <f t="shared" si="1"/>
        <v>65</v>
      </c>
      <c r="E18" s="55">
        <f>250/100000</f>
        <v>2.5000000000000001E-3</v>
      </c>
      <c r="F18" s="65">
        <f t="shared" si="0"/>
        <v>0.16250000000000001</v>
      </c>
      <c r="G18" s="39"/>
    </row>
    <row r="19" spans="1:7" ht="31.2" x14ac:dyDescent="0.3">
      <c r="A19" s="81" t="s">
        <v>36</v>
      </c>
      <c r="B19" s="14" t="s">
        <v>23</v>
      </c>
      <c r="C19" s="14" t="s">
        <v>37</v>
      </c>
      <c r="D19" s="15">
        <f t="shared" si="1"/>
        <v>65</v>
      </c>
      <c r="E19" s="56">
        <f>225/100000</f>
        <v>2.2499999999999998E-3</v>
      </c>
      <c r="F19" s="66">
        <f t="shared" si="0"/>
        <v>0.14624999999999999</v>
      </c>
      <c r="G19" s="39"/>
    </row>
    <row r="20" spans="1:7" ht="31.2" x14ac:dyDescent="0.3">
      <c r="A20" s="81" t="s">
        <v>38</v>
      </c>
      <c r="B20" s="14" t="s">
        <v>23</v>
      </c>
      <c r="C20" s="18" t="s">
        <v>39</v>
      </c>
      <c r="D20" s="15">
        <f t="shared" si="1"/>
        <v>65</v>
      </c>
      <c r="E20" s="56">
        <f>225/100000</f>
        <v>2.2499999999999998E-3</v>
      </c>
      <c r="F20" s="66">
        <f t="shared" si="0"/>
        <v>0.14624999999999999</v>
      </c>
      <c r="G20" s="39"/>
    </row>
    <row r="21" spans="1:7" ht="46.8" x14ac:dyDescent="0.3">
      <c r="A21" s="81" t="s">
        <v>40</v>
      </c>
      <c r="B21" s="14" t="s">
        <v>23</v>
      </c>
      <c r="C21" s="14" t="s">
        <v>41</v>
      </c>
      <c r="D21" s="20">
        <f>C2/10</f>
        <v>6.5</v>
      </c>
      <c r="E21" s="55">
        <f>850/100000</f>
        <v>8.5000000000000006E-3</v>
      </c>
      <c r="F21" s="57">
        <f t="shared" si="0"/>
        <v>5.5250000000000007E-2</v>
      </c>
      <c r="G21" s="41" t="s">
        <v>42</v>
      </c>
    </row>
    <row r="22" spans="1:7" ht="31.2" x14ac:dyDescent="0.3">
      <c r="A22" s="81" t="s">
        <v>43</v>
      </c>
      <c r="B22" s="14" t="s">
        <v>23</v>
      </c>
      <c r="C22" s="14" t="s">
        <v>44</v>
      </c>
      <c r="D22" s="15">
        <f t="shared" si="1"/>
        <v>65</v>
      </c>
      <c r="E22" s="55">
        <f>250/100000</f>
        <v>2.5000000000000001E-3</v>
      </c>
      <c r="F22" s="57">
        <f t="shared" si="0"/>
        <v>0.16250000000000001</v>
      </c>
      <c r="G22" s="39"/>
    </row>
    <row r="23" spans="1:7" x14ac:dyDescent="0.3">
      <c r="A23" s="25" t="s">
        <v>45</v>
      </c>
      <c r="B23" s="25"/>
      <c r="C23" s="25"/>
      <c r="D23" s="25"/>
      <c r="E23" s="25"/>
      <c r="F23" s="25"/>
      <c r="G23" s="42"/>
    </row>
    <row r="24" spans="1:7" ht="31.2" x14ac:dyDescent="0.3">
      <c r="A24" s="83" t="s">
        <v>46</v>
      </c>
      <c r="B24" s="11" t="s">
        <v>47</v>
      </c>
      <c r="C24" s="11" t="s">
        <v>48</v>
      </c>
      <c r="D24" s="12">
        <f t="shared" ref="D24:D28" si="2">$C$5</f>
        <v>65</v>
      </c>
      <c r="E24" s="60">
        <f>2400/100000</f>
        <v>2.4E-2</v>
      </c>
      <c r="F24" s="58">
        <f>$D24*$E24</f>
        <v>1.56</v>
      </c>
      <c r="G24" s="43"/>
    </row>
    <row r="25" spans="1:7" ht="31.2" x14ac:dyDescent="0.3">
      <c r="A25" s="83" t="s">
        <v>49</v>
      </c>
      <c r="B25" s="11" t="s">
        <v>47</v>
      </c>
      <c r="C25" s="11" t="s">
        <v>50</v>
      </c>
      <c r="D25" s="12">
        <f t="shared" si="2"/>
        <v>65</v>
      </c>
      <c r="E25" s="61">
        <f>7150/100000</f>
        <v>7.1499999999999994E-2</v>
      </c>
      <c r="F25" s="76">
        <f>$D25*$E25</f>
        <v>4.6475</v>
      </c>
      <c r="G25" s="43"/>
    </row>
    <row r="26" spans="1:7" ht="31.2" x14ac:dyDescent="0.3">
      <c r="A26" s="83" t="s">
        <v>51</v>
      </c>
      <c r="B26" s="11" t="s">
        <v>47</v>
      </c>
      <c r="C26" s="11" t="s">
        <v>52</v>
      </c>
      <c r="D26" s="12">
        <f t="shared" si="2"/>
        <v>65</v>
      </c>
      <c r="E26" s="60">
        <f>2900/100000</f>
        <v>2.9000000000000001E-2</v>
      </c>
      <c r="F26" s="75">
        <f t="shared" ref="F26:F29" si="3">$D26*$E26</f>
        <v>1.885</v>
      </c>
      <c r="G26" s="43"/>
    </row>
    <row r="27" spans="1:7" ht="31.2" x14ac:dyDescent="0.3">
      <c r="A27" s="83" t="s">
        <v>53</v>
      </c>
      <c r="B27" s="11" t="s">
        <v>47</v>
      </c>
      <c r="C27" s="11" t="s">
        <v>54</v>
      </c>
      <c r="D27" s="12">
        <f t="shared" si="2"/>
        <v>65</v>
      </c>
      <c r="E27" s="60">
        <f>23700/100000</f>
        <v>0.23699999999999999</v>
      </c>
      <c r="F27" s="75">
        <f t="shared" si="3"/>
        <v>15.404999999999999</v>
      </c>
      <c r="G27" s="43"/>
    </row>
    <row r="28" spans="1:7" ht="31.2" x14ac:dyDescent="0.3">
      <c r="A28" s="83" t="s">
        <v>55</v>
      </c>
      <c r="B28" s="11" t="s">
        <v>47</v>
      </c>
      <c r="C28" s="11" t="s">
        <v>56</v>
      </c>
      <c r="D28" s="12">
        <f t="shared" si="2"/>
        <v>65</v>
      </c>
      <c r="E28" s="61">
        <f>629960/100000</f>
        <v>6.2995999999999999</v>
      </c>
      <c r="F28" s="76">
        <f t="shared" si="3"/>
        <v>409.47399999999999</v>
      </c>
      <c r="G28" s="43" t="s">
        <v>57</v>
      </c>
    </row>
    <row r="29" spans="1:7" x14ac:dyDescent="0.3">
      <c r="A29" s="83" t="s">
        <v>58</v>
      </c>
      <c r="B29" s="11"/>
      <c r="C29" s="11" t="s">
        <v>59</v>
      </c>
      <c r="D29" s="12"/>
      <c r="E29" s="13"/>
      <c r="F29" s="58">
        <f>($F$28+$F$31)*0.05</f>
        <v>20.8561105</v>
      </c>
      <c r="G29" s="43" t="s">
        <v>60</v>
      </c>
    </row>
    <row r="30" spans="1:7" x14ac:dyDescent="0.3">
      <c r="A30" s="26" t="s">
        <v>61</v>
      </c>
      <c r="B30" s="26"/>
      <c r="C30" s="26"/>
      <c r="D30" s="26"/>
      <c r="E30" s="26"/>
      <c r="F30" s="26"/>
      <c r="G30" s="44"/>
    </row>
    <row r="31" spans="1:7" ht="62.4" x14ac:dyDescent="0.3">
      <c r="A31" s="84" t="s">
        <v>62</v>
      </c>
      <c r="B31" s="6" t="s">
        <v>63</v>
      </c>
      <c r="C31" s="6" t="s">
        <v>64</v>
      </c>
      <c r="D31" s="7">
        <v>1</v>
      </c>
      <c r="E31" s="63">
        <f>764821/100000</f>
        <v>7.6482099999999997</v>
      </c>
      <c r="F31" s="59">
        <f>$D31*$E31</f>
        <v>7.6482099999999997</v>
      </c>
      <c r="G31" s="45" t="s">
        <v>65</v>
      </c>
    </row>
    <row r="32" spans="1:7" x14ac:dyDescent="0.3">
      <c r="A32" s="84" t="s">
        <v>66</v>
      </c>
      <c r="B32" s="6"/>
      <c r="C32" s="6" t="s">
        <v>67</v>
      </c>
      <c r="D32" s="7">
        <f>$C$8</f>
        <v>2.4</v>
      </c>
      <c r="E32" s="62">
        <f>15000/100000</f>
        <v>0.15</v>
      </c>
      <c r="F32" s="59">
        <f>$D32*$E32</f>
        <v>0.36</v>
      </c>
      <c r="G32" s="45"/>
    </row>
    <row r="33" spans="1:7" ht="46.8" x14ac:dyDescent="0.3">
      <c r="A33" s="84" t="s">
        <v>68</v>
      </c>
      <c r="B33" s="6"/>
      <c r="C33" s="6" t="s">
        <v>69</v>
      </c>
      <c r="D33" s="7">
        <f>$C$8</f>
        <v>2.4</v>
      </c>
      <c r="E33" s="62">
        <f>70000/100000</f>
        <v>0.7</v>
      </c>
      <c r="F33" s="59">
        <f t="shared" ref="F33:F42" si="4">$D33*$E33</f>
        <v>1.68</v>
      </c>
      <c r="G33" s="45"/>
    </row>
    <row r="34" spans="1:7" ht="46.8" x14ac:dyDescent="0.3">
      <c r="A34" s="84" t="s">
        <v>70</v>
      </c>
      <c r="B34" s="6"/>
      <c r="C34" s="6" t="s">
        <v>71</v>
      </c>
      <c r="D34" s="7">
        <v>1</v>
      </c>
      <c r="E34" s="8">
        <f>100000/100000</f>
        <v>1</v>
      </c>
      <c r="F34" s="59">
        <f t="shared" si="4"/>
        <v>1</v>
      </c>
      <c r="G34" s="45"/>
    </row>
    <row r="35" spans="1:7" ht="46.8" x14ac:dyDescent="0.3">
      <c r="A35" s="84" t="s">
        <v>72</v>
      </c>
      <c r="B35" s="6" t="s">
        <v>63</v>
      </c>
      <c r="C35" s="9" t="s">
        <v>73</v>
      </c>
      <c r="D35" s="19">
        <f>$C$2/30</f>
        <v>2.1666666666666665</v>
      </c>
      <c r="E35" s="78">
        <f>17800/100000</f>
        <v>0.17799999999999999</v>
      </c>
      <c r="F35" s="59">
        <f t="shared" si="4"/>
        <v>0.3856666666666666</v>
      </c>
      <c r="G35" s="45"/>
    </row>
    <row r="36" spans="1:7" ht="46.8" x14ac:dyDescent="0.3">
      <c r="A36" s="84" t="s">
        <v>74</v>
      </c>
      <c r="B36" s="6" t="s">
        <v>63</v>
      </c>
      <c r="C36" s="6" t="s">
        <v>75</v>
      </c>
      <c r="D36" s="19">
        <f>$C$2/30</f>
        <v>2.1666666666666665</v>
      </c>
      <c r="E36" s="78">
        <f>75500/100000</f>
        <v>0.755</v>
      </c>
      <c r="F36" s="59">
        <f t="shared" si="4"/>
        <v>1.6358333333333333</v>
      </c>
      <c r="G36" s="45"/>
    </row>
    <row r="37" spans="1:7" ht="93.6" x14ac:dyDescent="0.3">
      <c r="A37" s="85" t="s">
        <v>76</v>
      </c>
      <c r="B37" s="37" t="s">
        <v>63</v>
      </c>
      <c r="C37" s="37" t="s">
        <v>77</v>
      </c>
      <c r="D37" s="19">
        <f>$C$2/30</f>
        <v>2.1666666666666665</v>
      </c>
      <c r="E37" s="10"/>
      <c r="F37" s="59">
        <f t="shared" si="4"/>
        <v>0</v>
      </c>
      <c r="G37" s="46" t="s">
        <v>78</v>
      </c>
    </row>
    <row r="38" spans="1:7" ht="62.4" x14ac:dyDescent="0.3">
      <c r="A38" s="84" t="s">
        <v>79</v>
      </c>
      <c r="B38" s="6" t="s">
        <v>63</v>
      </c>
      <c r="C38" s="6" t="s">
        <v>80</v>
      </c>
      <c r="D38" s="19">
        <f>$C$2/4</f>
        <v>16.25</v>
      </c>
      <c r="E38" s="78">
        <f>18500/100000</f>
        <v>0.185</v>
      </c>
      <c r="F38" s="59">
        <f t="shared" si="4"/>
        <v>3.0062500000000001</v>
      </c>
      <c r="G38" s="47" t="s">
        <v>107</v>
      </c>
    </row>
    <row r="39" spans="1:7" ht="46.8" x14ac:dyDescent="0.3">
      <c r="A39" s="84" t="s">
        <v>81</v>
      </c>
      <c r="B39" s="6" t="s">
        <v>63</v>
      </c>
      <c r="C39" s="6" t="s">
        <v>82</v>
      </c>
      <c r="D39" s="19">
        <f>$C$2/4</f>
        <v>16.25</v>
      </c>
      <c r="E39" s="78">
        <f>9900/100000</f>
        <v>9.9000000000000005E-2</v>
      </c>
      <c r="F39" s="59">
        <f t="shared" si="4"/>
        <v>1.6087500000000001</v>
      </c>
      <c r="G39" s="48" t="s">
        <v>83</v>
      </c>
    </row>
    <row r="40" spans="1:7" ht="62.4" x14ac:dyDescent="0.3">
      <c r="A40" s="84" t="s">
        <v>84</v>
      </c>
      <c r="B40" s="6" t="s">
        <v>63</v>
      </c>
      <c r="C40" s="6" t="s">
        <v>85</v>
      </c>
      <c r="D40" s="7">
        <v>2</v>
      </c>
      <c r="E40" s="62">
        <f>75000/100000</f>
        <v>0.75</v>
      </c>
      <c r="F40" s="59">
        <f t="shared" si="4"/>
        <v>1.5</v>
      </c>
      <c r="G40" s="45" t="s">
        <v>86</v>
      </c>
    </row>
    <row r="41" spans="1:7" ht="62.4" x14ac:dyDescent="0.3">
      <c r="A41" s="84" t="s">
        <v>87</v>
      </c>
      <c r="B41" s="6" t="s">
        <v>63</v>
      </c>
      <c r="C41" s="6" t="s">
        <v>88</v>
      </c>
      <c r="D41" s="19">
        <f>$C$2/30</f>
        <v>2.1666666666666665</v>
      </c>
      <c r="E41" s="77">
        <f>150000/100000</f>
        <v>1.5</v>
      </c>
      <c r="F41" s="59">
        <f t="shared" si="4"/>
        <v>3.25</v>
      </c>
      <c r="G41" s="45" t="s">
        <v>89</v>
      </c>
    </row>
    <row r="42" spans="1:7" ht="62.4" x14ac:dyDescent="0.3">
      <c r="A42" s="86" t="s">
        <v>90</v>
      </c>
      <c r="B42" s="5" t="s">
        <v>63</v>
      </c>
      <c r="C42" s="5" t="s">
        <v>91</v>
      </c>
      <c r="D42" s="23">
        <f>$C$2/30</f>
        <v>2.1666666666666665</v>
      </c>
      <c r="E42" s="79">
        <f>106199/100000</f>
        <v>1.06199</v>
      </c>
      <c r="F42" s="59">
        <f t="shared" si="4"/>
        <v>2.3009783333333331</v>
      </c>
      <c r="G42" s="49" t="s">
        <v>92</v>
      </c>
    </row>
    <row r="44" spans="1:7" ht="70.5" customHeight="1" x14ac:dyDescent="0.3">
      <c r="A44" s="74" t="s">
        <v>93</v>
      </c>
      <c r="B44" s="74"/>
      <c r="C44" s="74"/>
      <c r="D44" s="74"/>
      <c r="E44" s="74"/>
      <c r="F44" s="2"/>
    </row>
    <row r="46" spans="1:7" x14ac:dyDescent="0.3">
      <c r="A46" s="73" t="s">
        <v>94</v>
      </c>
      <c r="B46" s="73"/>
      <c r="C46" s="73"/>
      <c r="D46" s="73"/>
      <c r="E46" s="3"/>
      <c r="F46" s="3"/>
      <c r="G46" s="3"/>
    </row>
    <row r="47" spans="1:7" x14ac:dyDescent="0.3">
      <c r="A47" s="73"/>
      <c r="B47" s="73"/>
      <c r="C47" s="73"/>
      <c r="D47" s="73"/>
    </row>
    <row r="48" spans="1:7" x14ac:dyDescent="0.3">
      <c r="A48" s="73"/>
      <c r="B48" s="73"/>
      <c r="C48" s="73"/>
      <c r="D48" s="73"/>
    </row>
    <row r="49" spans="1:4" x14ac:dyDescent="0.3">
      <c r="A49" s="73"/>
      <c r="B49" s="73"/>
      <c r="C49" s="73"/>
      <c r="D49" s="73"/>
    </row>
    <row r="50" spans="1:4" x14ac:dyDescent="0.3">
      <c r="A50" s="73"/>
      <c r="B50" s="73"/>
      <c r="C50" s="73"/>
      <c r="D50" s="73"/>
    </row>
    <row r="51" spans="1:4" x14ac:dyDescent="0.3">
      <c r="A51" s="73"/>
      <c r="B51" s="73"/>
      <c r="C51" s="73"/>
      <c r="D51" s="73"/>
    </row>
    <row r="54" spans="1:4" x14ac:dyDescent="0.3">
      <c r="A54" s="71" t="s">
        <v>95</v>
      </c>
      <c r="B54" s="72"/>
      <c r="C54" s="72"/>
      <c r="D54" s="72"/>
    </row>
    <row r="55" spans="1:4" x14ac:dyDescent="0.3">
      <c r="A55" s="27" t="s">
        <v>96</v>
      </c>
      <c r="B55" s="27"/>
      <c r="C55" s="27" t="s">
        <v>97</v>
      </c>
      <c r="D55" s="27" t="s">
        <v>98</v>
      </c>
    </row>
    <row r="56" spans="1:4" x14ac:dyDescent="0.3">
      <c r="A56" s="27" t="s">
        <v>99</v>
      </c>
      <c r="B56" s="27"/>
      <c r="C56" s="27">
        <f>$C$1</f>
        <v>60</v>
      </c>
      <c r="D56" s="27"/>
    </row>
    <row r="57" spans="1:4" x14ac:dyDescent="0.3">
      <c r="A57" s="30" t="s">
        <v>100</v>
      </c>
      <c r="B57" s="30"/>
      <c r="C57" s="31">
        <f>SUM(F11:F22)</f>
        <v>28.778750000000002</v>
      </c>
      <c r="D57" s="30"/>
    </row>
    <row r="58" spans="1:4" ht="62.4" x14ac:dyDescent="0.3">
      <c r="A58" s="30" t="s">
        <v>17</v>
      </c>
      <c r="B58" s="30"/>
      <c r="C58" s="31">
        <f>C57/C56</f>
        <v>0.47964583333333338</v>
      </c>
      <c r="D58" s="30" t="s">
        <v>101</v>
      </c>
    </row>
    <row r="59" spans="1:4" x14ac:dyDescent="0.3">
      <c r="A59" s="32" t="s">
        <v>102</v>
      </c>
      <c r="B59" s="32"/>
      <c r="C59" s="33">
        <f>SUM(F24:F29)</f>
        <v>453.82761049999999</v>
      </c>
      <c r="D59" s="32"/>
    </row>
    <row r="60" spans="1:4" x14ac:dyDescent="0.3">
      <c r="A60" s="32" t="s">
        <v>103</v>
      </c>
      <c r="B60" s="32"/>
      <c r="C60" s="33">
        <f>$C$59/$C$56</f>
        <v>7.5637935083333332</v>
      </c>
      <c r="D60" s="32"/>
    </row>
    <row r="61" spans="1:4" x14ac:dyDescent="0.3">
      <c r="A61" s="34" t="s">
        <v>61</v>
      </c>
      <c r="B61" s="34"/>
      <c r="C61" s="35">
        <f>SUM(F31:F42)</f>
        <v>24.375688333333333</v>
      </c>
      <c r="D61" s="34"/>
    </row>
    <row r="62" spans="1:4" x14ac:dyDescent="0.3">
      <c r="A62" s="34" t="s">
        <v>104</v>
      </c>
      <c r="B62" s="34"/>
      <c r="C62" s="35">
        <f>C61/C56</f>
        <v>0.4062614722222222</v>
      </c>
      <c r="D62" s="34"/>
    </row>
    <row r="63" spans="1:4" x14ac:dyDescent="0.3">
      <c r="A63" s="68"/>
      <c r="B63" s="68"/>
      <c r="C63" s="68"/>
      <c r="D63" s="69"/>
    </row>
    <row r="64" spans="1:4" x14ac:dyDescent="0.3">
      <c r="A64" s="28" t="s">
        <v>105</v>
      </c>
      <c r="B64" s="28"/>
      <c r="C64" s="80">
        <f>SUM(F11:F42)</f>
        <v>506.98204883333335</v>
      </c>
      <c r="D64" s="67"/>
    </row>
    <row r="65" spans="1:4" x14ac:dyDescent="0.3">
      <c r="A65" s="28" t="s">
        <v>106</v>
      </c>
      <c r="B65" s="28"/>
      <c r="C65" s="29">
        <f>C64/C56</f>
        <v>8.4497008138888887</v>
      </c>
      <c r="D65" s="67"/>
    </row>
  </sheetData>
  <mergeCells count="6">
    <mergeCell ref="D64:D65"/>
    <mergeCell ref="A63:D63"/>
    <mergeCell ref="E2:G7"/>
    <mergeCell ref="A54:D54"/>
    <mergeCell ref="A46:D51"/>
    <mergeCell ref="A44:E44"/>
  </mergeCells>
  <hyperlinks>
    <hyperlink ref="G21" r:id="rId1" display="https://sachi.store/stainless-steel-gem-shovels-pack-of-10.html" xr:uid="{7C56947A-B734-43F1-BFEB-1B3F99342AA0}"/>
    <hyperlink ref="G39" r:id="rId2" display="https://sachi.store/diamond-seives.html" xr:uid="{3DA7AADE-6275-445F-AA09-D9CF70E19E1B}"/>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Department of Gemmology_Format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Tanush Pradhan</dc:creator>
  <cp:keywords/>
  <dc:description/>
  <cp:lastModifiedBy>Tanush Pradhan</cp:lastModifiedBy>
  <cp:revision/>
  <dcterms:created xsi:type="dcterms:W3CDTF">2026-01-08T07:00:12Z</dcterms:created>
  <dcterms:modified xsi:type="dcterms:W3CDTF">2026-02-04T04:39:21Z</dcterms:modified>
  <cp:category/>
  <cp:contentStatus/>
</cp:coreProperties>
</file>