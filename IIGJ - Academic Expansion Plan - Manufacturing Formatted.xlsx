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0" documentId="13_ncr:1_{E2D21EC6-0C85-40CD-8D01-A2B0552B50B9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Formated_Budget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8" i="4" l="1"/>
  <c r="F38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5" i="4"/>
  <c r="H4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</calcChain>
</file>

<file path=xl/sharedStrings.xml><?xml version="1.0" encoding="utf-8"?>
<sst xmlns="http://schemas.openxmlformats.org/spreadsheetml/2006/main" count="110" uniqueCount="64">
  <si>
    <t>Particulars</t>
  </si>
  <si>
    <t>Details</t>
  </si>
  <si>
    <t>Quantity.</t>
  </si>
  <si>
    <t>Projector Screen</t>
  </si>
  <si>
    <t>6' or 8' Width Projector Screen o</t>
  </si>
  <si>
    <t>Projector</t>
  </si>
  <si>
    <t>HD / 4K Quality</t>
  </si>
  <si>
    <t>Computers</t>
  </si>
  <si>
    <t>3 in 1 casting Machine</t>
  </si>
  <si>
    <t>Indian</t>
  </si>
  <si>
    <t>VULCUNIZER WITH FRAME</t>
  </si>
  <si>
    <t>WAX INJECTOR</t>
  </si>
  <si>
    <t>MANUAL</t>
  </si>
  <si>
    <t>AUTO</t>
  </si>
  <si>
    <t>PROGRAMMABLE BURNOUT FURNACE</t>
  </si>
  <si>
    <t>WATER JET MACHINE</t>
  </si>
  <si>
    <t>Metal rod cutting shear</t>
  </si>
  <si>
    <t>Blender mixer</t>
  </si>
  <si>
    <t>Hand Shearing M/c</t>
  </si>
  <si>
    <t>Metal weighing scale1kg.</t>
  </si>
  <si>
    <t>Wax Soldering Gun</t>
  </si>
  <si>
    <t>Air compressor 7.5 hp</t>
  </si>
  <si>
    <t>Metal weighing scale 20kg.</t>
  </si>
  <si>
    <t>ROLLING MACHINE COMBINED (MOTORIZED WITH WIRE &amp; SHEET) Small</t>
  </si>
  <si>
    <t>PICKLING POT</t>
  </si>
  <si>
    <t>PNEUMATIC HAMMER IN SETTING</t>
  </si>
  <si>
    <t>Foredom SR Motor (18000 RPM)</t>
  </si>
  <si>
    <t>HAND HELD MICRO MOTOR LIGHT DUTY</t>
  </si>
  <si>
    <t>ENGRAVERS</t>
  </si>
  <si>
    <t>MAGNETIC POLISHER</t>
  </si>
  <si>
    <t>SPLIT LAPPING MACHINE</t>
  </si>
  <si>
    <t>ULTRASONIC CLEANER 9 LTRS</t>
  </si>
  <si>
    <t>STEAMJET FOR CLEANING 9 TRS</t>
  </si>
  <si>
    <t>BUFFING MACHINES WITH DUST COLLECTOR 2 STATION</t>
  </si>
  <si>
    <t>DOUBLE SUCTION</t>
  </si>
  <si>
    <t>Work Bench Tables.</t>
  </si>
  <si>
    <t>VPC casting Machine</t>
  </si>
  <si>
    <t xml:space="preserve"> per table</t>
  </si>
  <si>
    <t>Gas tourch Gas &amp; Oxzen</t>
  </si>
  <si>
    <t>KWS</t>
  </si>
  <si>
    <t>CONSUMABLES</t>
  </si>
  <si>
    <t>micro Machine</t>
  </si>
  <si>
    <t xml:space="preserve"> Tools and consumables(casting, metal seting, filling &amp; polishing)</t>
  </si>
  <si>
    <t>master</t>
  </si>
  <si>
    <t>Workstation table cost: ₹20,000
Tools cost per table (4 drawers): ₹60,000</t>
  </si>
  <si>
    <t xml:space="preserve"> MFG</t>
  </si>
  <si>
    <t>12 flask capacity</t>
  </si>
  <si>
    <t>metal setting</t>
  </si>
  <si>
    <t>vpc  Auto</t>
  </si>
  <si>
    <t>Invesment mixture</t>
  </si>
  <si>
    <t>This machinery is shared by all students</t>
  </si>
  <si>
    <t>FOREDOM MOTOR WITH FLEXIBLE SHAFT 5000 RPM</t>
  </si>
  <si>
    <t>Per Student</t>
  </si>
  <si>
    <t>This consumable is shared by all students</t>
  </si>
  <si>
    <t>One workstation is shared by four different students.</t>
  </si>
  <si>
    <t>According to the capacity requirement for 60 students.</t>
  </si>
  <si>
    <t>This machinery is shared by all students 20 (5000 RPM) &amp; 40 (18000 RPM)</t>
  </si>
  <si>
    <t>Remarks</t>
  </si>
  <si>
    <t>Department</t>
  </si>
  <si>
    <t>Sl. No.</t>
  </si>
  <si>
    <t>Manufacturing Department</t>
  </si>
  <si>
    <t>Total (~approx.)</t>
  </si>
  <si>
    <t>Cost-to-Company in Lakhs (Equipment according to the capacity requirement of 60 students)</t>
  </si>
  <si>
    <t>Cost Per Items (In Lakhs)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</si>
</sst>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2"/>
      <color rgb="FF00000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7" fillId="0" borderId="0"/>
  </cellStyleXfs>
  <cellXfs count="44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" fontId="6" fillId="0" borderId="1" xfId="0" applyNumberFormat="1" applyFont="1" applyBorder="1" applyAlignment="1">
      <alignment horizontal="center" vertical="center" shrinkToFit="1"/>
    </xf>
    <xf numFmtId="0" fontId="3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 wrapText="1"/>
    </xf>
    <xf numFmtId="0" fontId="5" fillId="0" borderId="1" xfId="2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2" fontId="3" fillId="0" borderId="2" xfId="1" applyNumberFormat="1" applyFont="1" applyBorder="1" applyAlignment="1">
      <alignment horizontal="center" vertical="center"/>
    </xf>
    <xf numFmtId="0" fontId="3" fillId="0" borderId="4" xfId="1" applyNumberFormat="1" applyFont="1" applyBorder="1" applyAlignment="1">
      <alignment horizontal="center" vertical="center"/>
    </xf>
    <xf numFmtId="0" fontId="3" fillId="0" borderId="2" xfId="1" applyNumberFormat="1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2" fontId="4" fillId="3" borderId="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3" fillId="0" borderId="1" xfId="1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 textRotation="90" wrapText="1"/>
    </xf>
    <xf numFmtId="0" fontId="4" fillId="0" borderId="12" xfId="0" applyFont="1" applyBorder="1" applyAlignment="1">
      <alignment horizontal="center" vertical="center" textRotation="90" wrapText="1"/>
    </xf>
    <xf numFmtId="0" fontId="4" fillId="0" borderId="3" xfId="0" applyFont="1" applyBorder="1" applyAlignment="1">
      <alignment horizontal="center" vertical="center" textRotation="90" wrapText="1"/>
    </xf>
    <xf numFmtId="0" fontId="4" fillId="0" borderId="1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2" fontId="2" fillId="4" borderId="11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165" fontId="3" fillId="4" borderId="11" xfId="1" applyNumberFormat="1" applyFont="1" applyFill="1" applyBorder="1" applyAlignment="1">
      <alignment horizontal="center" vertical="center"/>
    </xf>
    <xf numFmtId="165" fontId="3" fillId="4" borderId="3" xfId="1" applyNumberFormat="1" applyFont="1" applyFill="1" applyBorder="1" applyAlignment="1">
      <alignment horizontal="center" vertical="center"/>
    </xf>
    <xf numFmtId="2" fontId="2" fillId="4" borderId="11" xfId="1" applyNumberFormat="1" applyFont="1" applyFill="1" applyBorder="1" applyAlignment="1">
      <alignment horizontal="center" vertical="center"/>
    </xf>
    <xf numFmtId="2" fontId="2" fillId="4" borderId="3" xfId="1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F8A17-FE34-4A2D-BBA3-64430DACAE7F}">
  <dimension ref="A1:I39"/>
  <sheetViews>
    <sheetView tabSelected="1" topLeftCell="D1" zoomScale="75" zoomScaleNormal="75" workbookViewId="0">
      <selection activeCell="F10" sqref="F10"/>
    </sheetView>
  </sheetViews>
  <sheetFormatPr defaultRowHeight="14.4" x14ac:dyDescent="0.3"/>
  <cols>
    <col min="1" max="1" width="7.88671875" bestFit="1" customWidth="1"/>
    <col min="2" max="2" width="44.88671875" bestFit="1" customWidth="1"/>
    <col min="3" max="3" width="13.77734375" customWidth="1"/>
    <col min="4" max="4" width="19.44140625" customWidth="1"/>
    <col min="5" max="5" width="11.5546875" customWidth="1"/>
    <col min="6" max="6" width="19.88671875" style="21" customWidth="1"/>
    <col min="7" max="7" width="21.109375" customWidth="1"/>
    <col min="8" max="8" width="28.109375" customWidth="1"/>
    <col min="9" max="9" width="33.77734375" customWidth="1"/>
  </cols>
  <sheetData>
    <row r="1" spans="1:9" x14ac:dyDescent="0.3">
      <c r="A1" s="23" t="s">
        <v>60</v>
      </c>
      <c r="B1" s="23"/>
      <c r="C1" s="23"/>
      <c r="D1" s="23"/>
      <c r="E1" s="23"/>
      <c r="F1" s="23"/>
      <c r="G1" s="23"/>
      <c r="H1" s="23"/>
      <c r="I1" s="23"/>
    </row>
    <row r="2" spans="1:9" x14ac:dyDescent="0.3">
      <c r="A2" s="23"/>
      <c r="B2" s="23"/>
      <c r="C2" s="23"/>
      <c r="D2" s="23"/>
      <c r="E2" s="23"/>
      <c r="F2" s="23"/>
      <c r="G2" s="23"/>
      <c r="H2" s="23"/>
      <c r="I2" s="23"/>
    </row>
    <row r="3" spans="1:9" ht="78.599999999999994" thickBot="1" x14ac:dyDescent="0.35">
      <c r="A3" s="17" t="s">
        <v>59</v>
      </c>
      <c r="B3" s="17" t="s">
        <v>0</v>
      </c>
      <c r="C3" s="17" t="s">
        <v>58</v>
      </c>
      <c r="D3" s="17" t="s">
        <v>1</v>
      </c>
      <c r="E3" s="17" t="s">
        <v>2</v>
      </c>
      <c r="F3" s="20" t="s">
        <v>63</v>
      </c>
      <c r="G3" s="18" t="s">
        <v>55</v>
      </c>
      <c r="H3" s="19" t="s">
        <v>62</v>
      </c>
      <c r="I3" s="17" t="s">
        <v>57</v>
      </c>
    </row>
    <row r="4" spans="1:9" ht="45" x14ac:dyDescent="0.3">
      <c r="A4" s="2">
        <v>1</v>
      </c>
      <c r="B4" s="10" t="s">
        <v>3</v>
      </c>
      <c r="C4" s="2" t="s">
        <v>45</v>
      </c>
      <c r="D4" s="3" t="s">
        <v>4</v>
      </c>
      <c r="E4" s="7">
        <v>1</v>
      </c>
      <c r="F4" s="14">
        <f>10000/100000</f>
        <v>0.1</v>
      </c>
      <c r="G4" s="15">
        <v>2</v>
      </c>
      <c r="H4" s="22">
        <f>F4*G4</f>
        <v>0.2</v>
      </c>
      <c r="I4" s="24" t="s">
        <v>50</v>
      </c>
    </row>
    <row r="5" spans="1:9" ht="15" x14ac:dyDescent="0.3">
      <c r="A5" s="2">
        <v>2</v>
      </c>
      <c r="B5" s="10" t="s">
        <v>5</v>
      </c>
      <c r="C5" s="2" t="s">
        <v>45</v>
      </c>
      <c r="D5" s="3" t="s">
        <v>6</v>
      </c>
      <c r="E5" s="7">
        <v>1</v>
      </c>
      <c r="F5" s="14">
        <f>50000/100000</f>
        <v>0.5</v>
      </c>
      <c r="G5" s="16">
        <v>2</v>
      </c>
      <c r="H5" s="22">
        <f>F5*G5</f>
        <v>1</v>
      </c>
      <c r="I5" s="25"/>
    </row>
    <row r="6" spans="1:9" ht="15" x14ac:dyDescent="0.3">
      <c r="A6" s="2">
        <v>3</v>
      </c>
      <c r="B6" s="6" t="s">
        <v>7</v>
      </c>
      <c r="C6" s="2" t="s">
        <v>45</v>
      </c>
      <c r="D6" s="5"/>
      <c r="E6" s="7">
        <v>1</v>
      </c>
      <c r="F6" s="14">
        <f>60000/100000</f>
        <v>0.6</v>
      </c>
      <c r="G6" s="16">
        <v>1</v>
      </c>
      <c r="H6" s="22">
        <f t="shared" ref="H6:H37" si="0">F6*G6</f>
        <v>0.6</v>
      </c>
      <c r="I6" s="25"/>
    </row>
    <row r="7" spans="1:9" ht="15" x14ac:dyDescent="0.3">
      <c r="A7" s="2">
        <v>4</v>
      </c>
      <c r="B7" s="4" t="s">
        <v>8</v>
      </c>
      <c r="C7" s="2" t="s">
        <v>45</v>
      </c>
      <c r="D7" s="5" t="s">
        <v>9</v>
      </c>
      <c r="E7" s="7">
        <v>1</v>
      </c>
      <c r="F7" s="14">
        <f>300000/100000</f>
        <v>3</v>
      </c>
      <c r="G7" s="16">
        <v>1</v>
      </c>
      <c r="H7" s="22">
        <f t="shared" si="0"/>
        <v>3</v>
      </c>
      <c r="I7" s="25"/>
    </row>
    <row r="8" spans="1:9" ht="15" x14ac:dyDescent="0.3">
      <c r="A8" s="2">
        <v>5</v>
      </c>
      <c r="B8" s="4" t="s">
        <v>36</v>
      </c>
      <c r="C8" s="2" t="s">
        <v>45</v>
      </c>
      <c r="D8" s="5" t="s">
        <v>48</v>
      </c>
      <c r="E8" s="7">
        <v>1</v>
      </c>
      <c r="F8" s="14">
        <f>2500000/100000</f>
        <v>25</v>
      </c>
      <c r="G8" s="16">
        <v>1</v>
      </c>
      <c r="H8" s="22">
        <f t="shared" si="0"/>
        <v>25</v>
      </c>
      <c r="I8" s="25"/>
    </row>
    <row r="9" spans="1:9" ht="15" x14ac:dyDescent="0.3">
      <c r="A9" s="2">
        <v>6</v>
      </c>
      <c r="B9" s="4" t="s">
        <v>49</v>
      </c>
      <c r="C9" s="2" t="s">
        <v>45</v>
      </c>
      <c r="D9" s="5" t="s">
        <v>39</v>
      </c>
      <c r="E9" s="7">
        <v>1</v>
      </c>
      <c r="F9" s="14">
        <f>450000/100000</f>
        <v>4.5</v>
      </c>
      <c r="G9" s="16">
        <v>1</v>
      </c>
      <c r="H9" s="22">
        <f t="shared" si="0"/>
        <v>4.5</v>
      </c>
      <c r="I9" s="25"/>
    </row>
    <row r="10" spans="1:9" ht="15" x14ac:dyDescent="0.3">
      <c r="A10" s="2">
        <v>7</v>
      </c>
      <c r="B10" s="8" t="s">
        <v>10</v>
      </c>
      <c r="C10" s="2" t="s">
        <v>45</v>
      </c>
      <c r="D10" s="5" t="s">
        <v>9</v>
      </c>
      <c r="E10" s="7">
        <v>1</v>
      </c>
      <c r="F10" s="14">
        <f>50000/100000</f>
        <v>0.5</v>
      </c>
      <c r="G10" s="16">
        <v>5</v>
      </c>
      <c r="H10" s="22">
        <f t="shared" si="0"/>
        <v>2.5</v>
      </c>
      <c r="I10" s="25"/>
    </row>
    <row r="11" spans="1:9" ht="15" x14ac:dyDescent="0.3">
      <c r="A11" s="2">
        <v>8</v>
      </c>
      <c r="B11" s="8" t="s">
        <v>11</v>
      </c>
      <c r="C11" s="2" t="s">
        <v>45</v>
      </c>
      <c r="D11" s="5" t="s">
        <v>12</v>
      </c>
      <c r="E11" s="7">
        <v>1</v>
      </c>
      <c r="F11" s="14">
        <f>30000/100000</f>
        <v>0.3</v>
      </c>
      <c r="G11" s="16">
        <v>2</v>
      </c>
      <c r="H11" s="22">
        <f t="shared" si="0"/>
        <v>0.6</v>
      </c>
      <c r="I11" s="25"/>
    </row>
    <row r="12" spans="1:9" ht="15" x14ac:dyDescent="0.3">
      <c r="A12" s="2">
        <v>9</v>
      </c>
      <c r="B12" s="8" t="s">
        <v>11</v>
      </c>
      <c r="C12" s="2" t="s">
        <v>45</v>
      </c>
      <c r="D12" s="5" t="s">
        <v>13</v>
      </c>
      <c r="E12" s="7">
        <v>1</v>
      </c>
      <c r="F12" s="14">
        <f>500000/100000</f>
        <v>5</v>
      </c>
      <c r="G12" s="16">
        <v>5</v>
      </c>
      <c r="H12" s="22">
        <f t="shared" si="0"/>
        <v>25</v>
      </c>
      <c r="I12" s="25"/>
    </row>
    <row r="13" spans="1:9" ht="15" x14ac:dyDescent="0.3">
      <c r="A13" s="2">
        <v>10</v>
      </c>
      <c r="B13" s="8" t="s">
        <v>14</v>
      </c>
      <c r="C13" s="2" t="s">
        <v>45</v>
      </c>
      <c r="D13" s="5" t="s">
        <v>46</v>
      </c>
      <c r="E13" s="7">
        <v>1</v>
      </c>
      <c r="F13" s="14">
        <f>150000/100000</f>
        <v>1.5</v>
      </c>
      <c r="G13" s="16">
        <v>1</v>
      </c>
      <c r="H13" s="22">
        <f t="shared" si="0"/>
        <v>1.5</v>
      </c>
      <c r="I13" s="25"/>
    </row>
    <row r="14" spans="1:9" ht="15" x14ac:dyDescent="0.3">
      <c r="A14" s="2">
        <v>11</v>
      </c>
      <c r="B14" s="4" t="s">
        <v>15</v>
      </c>
      <c r="C14" s="2" t="s">
        <v>45</v>
      </c>
      <c r="D14" s="5" t="s">
        <v>9</v>
      </c>
      <c r="E14" s="7">
        <v>1</v>
      </c>
      <c r="F14" s="14">
        <f>100000/100000</f>
        <v>1</v>
      </c>
      <c r="G14" s="16">
        <v>1</v>
      </c>
      <c r="H14" s="22">
        <f t="shared" si="0"/>
        <v>1</v>
      </c>
      <c r="I14" s="25"/>
    </row>
    <row r="15" spans="1:9" ht="15" x14ac:dyDescent="0.3">
      <c r="A15" s="2">
        <v>12</v>
      </c>
      <c r="B15" s="4" t="s">
        <v>16</v>
      </c>
      <c r="C15" s="2" t="s">
        <v>45</v>
      </c>
      <c r="D15" s="5" t="s">
        <v>9</v>
      </c>
      <c r="E15" s="7">
        <v>1</v>
      </c>
      <c r="F15" s="14">
        <f>5000/100000</f>
        <v>0.05</v>
      </c>
      <c r="G15" s="16">
        <v>1</v>
      </c>
      <c r="H15" s="22">
        <f t="shared" si="0"/>
        <v>0.05</v>
      </c>
      <c r="I15" s="25"/>
    </row>
    <row r="16" spans="1:9" ht="15" x14ac:dyDescent="0.3">
      <c r="A16" s="2">
        <v>13</v>
      </c>
      <c r="B16" s="4" t="s">
        <v>17</v>
      </c>
      <c r="C16" s="2" t="s">
        <v>45</v>
      </c>
      <c r="D16" s="5"/>
      <c r="E16" s="7">
        <v>1</v>
      </c>
      <c r="F16" s="14">
        <f>3000/100000</f>
        <v>0.03</v>
      </c>
      <c r="G16" s="16">
        <v>1</v>
      </c>
      <c r="H16" s="22">
        <f t="shared" si="0"/>
        <v>0.03</v>
      </c>
      <c r="I16" s="25"/>
    </row>
    <row r="17" spans="1:9" ht="15" x14ac:dyDescent="0.3">
      <c r="A17" s="2">
        <v>14</v>
      </c>
      <c r="B17" s="9" t="s">
        <v>18</v>
      </c>
      <c r="C17" s="2" t="s">
        <v>45</v>
      </c>
      <c r="D17" s="5" t="s">
        <v>9</v>
      </c>
      <c r="E17" s="7">
        <v>1</v>
      </c>
      <c r="F17" s="14">
        <f>20000/100000</f>
        <v>0.2</v>
      </c>
      <c r="G17" s="16">
        <v>1</v>
      </c>
      <c r="H17" s="22">
        <f t="shared" si="0"/>
        <v>0.2</v>
      </c>
      <c r="I17" s="25"/>
    </row>
    <row r="18" spans="1:9" ht="15" x14ac:dyDescent="0.3">
      <c r="A18" s="2">
        <v>15</v>
      </c>
      <c r="B18" s="10" t="s">
        <v>19</v>
      </c>
      <c r="C18" s="2" t="s">
        <v>45</v>
      </c>
      <c r="D18" s="5" t="s">
        <v>9</v>
      </c>
      <c r="E18" s="7">
        <v>1</v>
      </c>
      <c r="F18" s="14">
        <f>10000/100000</f>
        <v>0.1</v>
      </c>
      <c r="G18" s="16">
        <v>4</v>
      </c>
      <c r="H18" s="22">
        <f t="shared" si="0"/>
        <v>0.4</v>
      </c>
      <c r="I18" s="25"/>
    </row>
    <row r="19" spans="1:9" ht="15" x14ac:dyDescent="0.3">
      <c r="A19" s="2">
        <v>16</v>
      </c>
      <c r="B19" s="10" t="s">
        <v>20</v>
      </c>
      <c r="C19" s="2" t="s">
        <v>45</v>
      </c>
      <c r="D19" s="5" t="s">
        <v>9</v>
      </c>
      <c r="E19" s="7">
        <v>1</v>
      </c>
      <c r="F19" s="14">
        <f>1000/100000</f>
        <v>0.01</v>
      </c>
      <c r="G19" s="16">
        <v>30</v>
      </c>
      <c r="H19" s="22">
        <f t="shared" si="0"/>
        <v>0.3</v>
      </c>
      <c r="I19" s="25"/>
    </row>
    <row r="20" spans="1:9" ht="15" x14ac:dyDescent="0.3">
      <c r="A20" s="2">
        <v>17</v>
      </c>
      <c r="B20" s="9" t="s">
        <v>21</v>
      </c>
      <c r="C20" s="2" t="s">
        <v>45</v>
      </c>
      <c r="D20" s="5" t="s">
        <v>9</v>
      </c>
      <c r="E20" s="7">
        <v>1</v>
      </c>
      <c r="F20" s="14">
        <f>80000/100000</f>
        <v>0.8</v>
      </c>
      <c r="G20" s="16">
        <v>1</v>
      </c>
      <c r="H20" s="22">
        <f t="shared" si="0"/>
        <v>0.8</v>
      </c>
      <c r="I20" s="25"/>
    </row>
    <row r="21" spans="1:9" ht="15" x14ac:dyDescent="0.3">
      <c r="A21" s="2">
        <v>18</v>
      </c>
      <c r="B21" s="10" t="s">
        <v>22</v>
      </c>
      <c r="C21" s="2" t="s">
        <v>45</v>
      </c>
      <c r="D21" s="5" t="s">
        <v>9</v>
      </c>
      <c r="E21" s="7">
        <v>1</v>
      </c>
      <c r="F21" s="14">
        <f>50000/100000</f>
        <v>0.5</v>
      </c>
      <c r="G21" s="16">
        <v>1</v>
      </c>
      <c r="H21" s="22">
        <f t="shared" si="0"/>
        <v>0.5</v>
      </c>
      <c r="I21" s="25"/>
    </row>
    <row r="22" spans="1:9" ht="45" x14ac:dyDescent="0.3">
      <c r="A22" s="2">
        <v>19</v>
      </c>
      <c r="B22" s="8" t="s">
        <v>23</v>
      </c>
      <c r="C22" s="2" t="s">
        <v>45</v>
      </c>
      <c r="D22" s="5" t="s">
        <v>43</v>
      </c>
      <c r="E22" s="7">
        <v>1</v>
      </c>
      <c r="F22" s="14">
        <f>150000/100000</f>
        <v>1.5</v>
      </c>
      <c r="G22" s="16">
        <v>2</v>
      </c>
      <c r="H22" s="22">
        <f t="shared" si="0"/>
        <v>3</v>
      </c>
      <c r="I22" s="25"/>
    </row>
    <row r="23" spans="1:9" ht="15" x14ac:dyDescent="0.3">
      <c r="A23" s="2">
        <v>20</v>
      </c>
      <c r="B23" s="4" t="s">
        <v>24</v>
      </c>
      <c r="C23" s="2" t="s">
        <v>45</v>
      </c>
      <c r="D23" s="5" t="s">
        <v>9</v>
      </c>
      <c r="E23" s="7">
        <v>1</v>
      </c>
      <c r="F23" s="14">
        <f>15000/100000</f>
        <v>0.15</v>
      </c>
      <c r="G23" s="16">
        <v>3</v>
      </c>
      <c r="H23" s="22">
        <f t="shared" si="0"/>
        <v>0.44999999999999996</v>
      </c>
      <c r="I23" s="25"/>
    </row>
    <row r="24" spans="1:9" ht="15" x14ac:dyDescent="0.3">
      <c r="A24" s="2">
        <v>21</v>
      </c>
      <c r="B24" s="4" t="s">
        <v>25</v>
      </c>
      <c r="C24" s="2" t="s">
        <v>45</v>
      </c>
      <c r="D24" s="5"/>
      <c r="E24" s="7">
        <v>1</v>
      </c>
      <c r="F24" s="14">
        <f>20000/100000</f>
        <v>0.2</v>
      </c>
      <c r="G24" s="16">
        <v>20</v>
      </c>
      <c r="H24" s="22">
        <f t="shared" si="0"/>
        <v>4</v>
      </c>
      <c r="I24" s="26"/>
    </row>
    <row r="25" spans="1:9" ht="30" x14ac:dyDescent="0.3">
      <c r="A25" s="2">
        <v>22</v>
      </c>
      <c r="B25" s="8" t="s">
        <v>51</v>
      </c>
      <c r="C25" s="2" t="s">
        <v>45</v>
      </c>
      <c r="D25" s="5"/>
      <c r="E25" s="7">
        <v>1</v>
      </c>
      <c r="F25" s="14">
        <f>10000/100000</f>
        <v>0.1</v>
      </c>
      <c r="G25" s="16">
        <v>20</v>
      </c>
      <c r="H25" s="22">
        <f t="shared" si="0"/>
        <v>2</v>
      </c>
      <c r="I25" s="27" t="s">
        <v>56</v>
      </c>
    </row>
    <row r="26" spans="1:9" ht="15" x14ac:dyDescent="0.3">
      <c r="A26" s="2">
        <v>23</v>
      </c>
      <c r="B26" s="11" t="s">
        <v>26</v>
      </c>
      <c r="C26" s="2" t="s">
        <v>45</v>
      </c>
      <c r="D26" s="5"/>
      <c r="E26" s="7">
        <v>1</v>
      </c>
      <c r="F26" s="14">
        <f>20000/100000</f>
        <v>0.2</v>
      </c>
      <c r="G26" s="16">
        <v>40</v>
      </c>
      <c r="H26" s="22">
        <f t="shared" si="0"/>
        <v>8</v>
      </c>
      <c r="I26" s="28"/>
    </row>
    <row r="27" spans="1:9" ht="15.6" x14ac:dyDescent="0.3">
      <c r="A27" s="2">
        <v>24</v>
      </c>
      <c r="B27" s="4" t="s">
        <v>27</v>
      </c>
      <c r="C27" s="2" t="s">
        <v>45</v>
      </c>
      <c r="D27" s="5"/>
      <c r="E27" s="7">
        <v>1</v>
      </c>
      <c r="F27" s="14">
        <f>8000/100000</f>
        <v>0.08</v>
      </c>
      <c r="G27" s="16"/>
      <c r="H27" s="22">
        <f t="shared" si="0"/>
        <v>0</v>
      </c>
      <c r="I27" s="13" t="s">
        <v>52</v>
      </c>
    </row>
    <row r="28" spans="1:9" ht="15" x14ac:dyDescent="0.3">
      <c r="A28" s="2">
        <v>25</v>
      </c>
      <c r="B28" s="4" t="s">
        <v>28</v>
      </c>
      <c r="C28" s="2" t="s">
        <v>45</v>
      </c>
      <c r="D28" s="5"/>
      <c r="E28" s="7">
        <v>1</v>
      </c>
      <c r="F28" s="14">
        <f>80000/100000</f>
        <v>0.8</v>
      </c>
      <c r="G28" s="16">
        <v>10</v>
      </c>
      <c r="H28" s="22">
        <f t="shared" si="0"/>
        <v>8</v>
      </c>
      <c r="I28" s="27" t="s">
        <v>50</v>
      </c>
    </row>
    <row r="29" spans="1:9" ht="15" x14ac:dyDescent="0.3">
      <c r="A29" s="2">
        <v>26</v>
      </c>
      <c r="B29" s="4" t="s">
        <v>29</v>
      </c>
      <c r="C29" s="2" t="s">
        <v>45</v>
      </c>
      <c r="D29" s="5"/>
      <c r="E29" s="7">
        <v>1</v>
      </c>
      <c r="F29" s="14">
        <f>80000/100000</f>
        <v>0.8</v>
      </c>
      <c r="G29" s="16">
        <v>3</v>
      </c>
      <c r="H29" s="22">
        <f t="shared" si="0"/>
        <v>2.4000000000000004</v>
      </c>
      <c r="I29" s="29"/>
    </row>
    <row r="30" spans="1:9" ht="15" x14ac:dyDescent="0.3">
      <c r="A30" s="2">
        <v>27</v>
      </c>
      <c r="B30" s="4" t="s">
        <v>30</v>
      </c>
      <c r="C30" s="2" t="s">
        <v>45</v>
      </c>
      <c r="D30" s="5"/>
      <c r="E30" s="7">
        <v>1</v>
      </c>
      <c r="F30" s="14">
        <f>80000/100000</f>
        <v>0.8</v>
      </c>
      <c r="G30" s="16">
        <v>2</v>
      </c>
      <c r="H30" s="22">
        <f t="shared" si="0"/>
        <v>1.6</v>
      </c>
      <c r="I30" s="29"/>
    </row>
    <row r="31" spans="1:9" ht="15" x14ac:dyDescent="0.3">
      <c r="A31" s="2">
        <v>28</v>
      </c>
      <c r="B31" s="4" t="s">
        <v>31</v>
      </c>
      <c r="C31" s="2" t="s">
        <v>45</v>
      </c>
      <c r="D31" s="5"/>
      <c r="E31" s="7">
        <v>1</v>
      </c>
      <c r="F31" s="14">
        <f>50000/100000</f>
        <v>0.5</v>
      </c>
      <c r="G31" s="16">
        <v>2</v>
      </c>
      <c r="H31" s="22">
        <f t="shared" si="0"/>
        <v>1</v>
      </c>
      <c r="I31" s="29"/>
    </row>
    <row r="32" spans="1:9" ht="15" x14ac:dyDescent="0.3">
      <c r="A32" s="2">
        <v>29</v>
      </c>
      <c r="B32" s="4" t="s">
        <v>32</v>
      </c>
      <c r="C32" s="2" t="s">
        <v>45</v>
      </c>
      <c r="D32" s="5"/>
      <c r="E32" s="7">
        <v>1</v>
      </c>
      <c r="F32" s="14">
        <f>70000/100000</f>
        <v>0.7</v>
      </c>
      <c r="G32" s="16">
        <v>2</v>
      </c>
      <c r="H32" s="22">
        <f t="shared" si="0"/>
        <v>1.4</v>
      </c>
      <c r="I32" s="29"/>
    </row>
    <row r="33" spans="1:9" ht="30" x14ac:dyDescent="0.3">
      <c r="A33" s="2">
        <v>30</v>
      </c>
      <c r="B33" s="8" t="s">
        <v>33</v>
      </c>
      <c r="C33" s="2" t="s">
        <v>45</v>
      </c>
      <c r="D33" s="5" t="s">
        <v>34</v>
      </c>
      <c r="E33" s="7">
        <v>1</v>
      </c>
      <c r="F33" s="14">
        <f>90000/100000</f>
        <v>0.9</v>
      </c>
      <c r="G33" s="16">
        <v>5</v>
      </c>
      <c r="H33" s="22">
        <f t="shared" si="0"/>
        <v>4.5</v>
      </c>
      <c r="I33" s="28"/>
    </row>
    <row r="34" spans="1:9" ht="15.6" x14ac:dyDescent="0.3">
      <c r="A34" s="2">
        <v>31</v>
      </c>
      <c r="B34" s="6" t="s">
        <v>38</v>
      </c>
      <c r="C34" s="2" t="s">
        <v>45</v>
      </c>
      <c r="D34" s="3" t="s">
        <v>37</v>
      </c>
      <c r="E34" s="7">
        <v>1</v>
      </c>
      <c r="F34" s="14">
        <f>20000/100000</f>
        <v>0.2</v>
      </c>
      <c r="G34" s="16">
        <v>60</v>
      </c>
      <c r="H34" s="22">
        <f t="shared" si="0"/>
        <v>12</v>
      </c>
      <c r="I34" s="13" t="s">
        <v>52</v>
      </c>
    </row>
    <row r="35" spans="1:9" ht="75" x14ac:dyDescent="0.3">
      <c r="A35" s="2">
        <v>32</v>
      </c>
      <c r="B35" s="6" t="s">
        <v>35</v>
      </c>
      <c r="C35" s="2" t="s">
        <v>45</v>
      </c>
      <c r="D35" s="3" t="s">
        <v>44</v>
      </c>
      <c r="E35" s="7">
        <v>1</v>
      </c>
      <c r="F35" s="14">
        <f>80000/100000</f>
        <v>0.8</v>
      </c>
      <c r="G35" s="16">
        <v>60</v>
      </c>
      <c r="H35" s="22">
        <f t="shared" si="0"/>
        <v>48</v>
      </c>
      <c r="I35" s="1" t="s">
        <v>54</v>
      </c>
    </row>
    <row r="36" spans="1:9" ht="60" x14ac:dyDescent="0.3">
      <c r="A36" s="2">
        <v>33</v>
      </c>
      <c r="B36" s="12" t="s">
        <v>40</v>
      </c>
      <c r="C36" s="2" t="s">
        <v>45</v>
      </c>
      <c r="D36" s="5" t="s">
        <v>42</v>
      </c>
      <c r="E36" s="7"/>
      <c r="F36" s="14">
        <f>700000/100000</f>
        <v>7</v>
      </c>
      <c r="G36" s="16"/>
      <c r="H36" s="22">
        <f t="shared" si="0"/>
        <v>0</v>
      </c>
      <c r="I36" s="1" t="s">
        <v>53</v>
      </c>
    </row>
    <row r="37" spans="1:9" ht="31.2" x14ac:dyDescent="0.3">
      <c r="A37" s="2">
        <v>33</v>
      </c>
      <c r="B37" s="6" t="s">
        <v>41</v>
      </c>
      <c r="C37" s="2" t="s">
        <v>45</v>
      </c>
      <c r="D37" s="3" t="s">
        <v>47</v>
      </c>
      <c r="E37" s="2">
        <v>1</v>
      </c>
      <c r="F37" s="14">
        <f>50000/100000</f>
        <v>0.5</v>
      </c>
      <c r="G37" s="16">
        <v>5</v>
      </c>
      <c r="H37" s="22">
        <f t="shared" si="0"/>
        <v>2.5</v>
      </c>
      <c r="I37" s="1" t="s">
        <v>50</v>
      </c>
    </row>
    <row r="38" spans="1:9" ht="15" customHeight="1" x14ac:dyDescent="0.3">
      <c r="A38" s="30" t="s">
        <v>61</v>
      </c>
      <c r="B38" s="31"/>
      <c r="C38" s="31"/>
      <c r="D38" s="32"/>
      <c r="E38" s="36"/>
      <c r="F38" s="38">
        <f>SUM(F4:F37)</f>
        <v>58.919999999999995</v>
      </c>
      <c r="G38" s="40"/>
      <c r="H38" s="42">
        <f>SUM(H4:H37)</f>
        <v>166.03000000000003</v>
      </c>
      <c r="I38" s="36"/>
    </row>
    <row r="39" spans="1:9" ht="15" customHeight="1" x14ac:dyDescent="0.3">
      <c r="A39" s="33"/>
      <c r="B39" s="34"/>
      <c r="C39" s="34"/>
      <c r="D39" s="35"/>
      <c r="E39" s="37"/>
      <c r="F39" s="39"/>
      <c r="G39" s="41"/>
      <c r="H39" s="43"/>
      <c r="I39" s="37"/>
    </row>
  </sheetData>
  <mergeCells count="10">
    <mergeCell ref="A1:I2"/>
    <mergeCell ref="I4:I24"/>
    <mergeCell ref="I25:I26"/>
    <mergeCell ref="I28:I33"/>
    <mergeCell ref="A38:D39"/>
    <mergeCell ref="E38:E39"/>
    <mergeCell ref="F38:F39"/>
    <mergeCell ref="G38:G39"/>
    <mergeCell ref="I38:I39"/>
    <mergeCell ref="H38:H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Formated_Budget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2026-02-05T11:22:09Z</dcterms:modified>
</cp:coreProperties>
</file>