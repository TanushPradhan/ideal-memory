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filterPrivacy="1"/>
  <xr:revisionPtr revIDLastSave="0" documentId="8_{CCA791D7-9EC0-4D8B-978B-1AB6A156B39A}" xr6:coauthVersionLast="47" xr6:coauthVersionMax="47" xr10:uidLastSave="{00000000-0000-0000-0000-000000000000}"/>
  <bookViews>
    <workbookView xWindow="-108" yWindow="-108" windowWidth="23256" windowHeight="12456" xr2:uid="{00000000-000D-0000-FFFF-FFFF00000000}"/>
  </bookViews>
  <sheets>
    <sheet name="Formatted Department of CAD"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8" i="3" l="1"/>
  <c r="H8" i="3"/>
  <c r="I8" i="3" s="1"/>
  <c r="E8" i="3"/>
  <c r="F8" i="3" s="1"/>
  <c r="L7" i="3"/>
  <c r="H7" i="3"/>
  <c r="I7" i="3" s="1"/>
  <c r="E7" i="3"/>
  <c r="F7" i="3" s="1"/>
  <c r="K6" i="3"/>
  <c r="I6" i="3" s="1"/>
  <c r="L5" i="3"/>
  <c r="H5" i="3"/>
  <c r="I5" i="3" s="1"/>
  <c r="E5" i="3"/>
  <c r="F5" i="3" s="1"/>
  <c r="L4" i="3"/>
  <c r="I4" i="3"/>
  <c r="H4" i="3"/>
  <c r="H9" i="3" s="1"/>
  <c r="E4" i="3"/>
  <c r="E9" i="3" s="1"/>
  <c r="I30" i="3" l="1"/>
  <c r="L6" i="3"/>
  <c r="L30" i="3" s="1"/>
  <c r="F4" i="3"/>
  <c r="I9" i="3"/>
  <c r="L9" i="3"/>
  <c r="F30" i="3" l="1"/>
  <c r="F9" i="3"/>
</calcChain>
</file>

<file path=xl/sharedStrings.xml><?xml version="1.0" encoding="utf-8"?>
<sst xmlns="http://schemas.openxmlformats.org/spreadsheetml/2006/main" count="72" uniqueCount="63">
  <si>
    <t>Sr. No.</t>
  </si>
  <si>
    <t>Details</t>
  </si>
  <si>
    <t>Computers</t>
  </si>
  <si>
    <t>Description</t>
  </si>
  <si>
    <t>Per Unit Cost
In Lakhs</t>
  </si>
  <si>
    <t>Total Cost
In Lakhs</t>
  </si>
  <si>
    <t>Processor: Intel Core i7 14 Gen.
RAM: 16GB DDR5.
Storage: 512GB SSD/NVMe SSD.
Motherboard: Compatible motherboard.
Graphic Card: 8GB GeForce Nvidia RTX 5060
Monitor: 22 inches LED.
Operating System: With windows 11pro license.</t>
  </si>
  <si>
    <t>High Speed Internet connectivity</t>
  </si>
  <si>
    <t>For Full computer Lab running software.</t>
  </si>
  <si>
    <t>MatrixGold With Rhinoceros</t>
  </si>
  <si>
    <t>CorelDraw (1 year subscription)
Every year need to renew.</t>
  </si>
  <si>
    <t>Printer / Scanner</t>
  </si>
  <si>
    <t>Black &amp; White Laser Printer.</t>
  </si>
  <si>
    <t>Computer Table</t>
  </si>
  <si>
    <t>For the students and Faculty.</t>
  </si>
  <si>
    <t>Chairs</t>
  </si>
  <si>
    <t>Sound System</t>
  </si>
  <si>
    <t>2-Mic's and 4-speakers for class room.</t>
  </si>
  <si>
    <t>Electrical Points</t>
  </si>
  <si>
    <t>1-ON/OFF Switch with 3nos of universal plugs for each computer stations and for LED's Printer &amp; Sound systems.</t>
  </si>
  <si>
    <t>HDMI Splitter</t>
  </si>
  <si>
    <t>For connecting faculty computer with LED Screen for conducting sessions.</t>
  </si>
  <si>
    <t>HDMI Cables</t>
  </si>
  <si>
    <t>Length is based on the placement. For connecting faculty computer with LED Screen for conducting sessions.</t>
  </si>
  <si>
    <t>AUX Cable</t>
  </si>
  <si>
    <t>Connecting faculty computer with class room sound system.</t>
  </si>
  <si>
    <t>Projectors OR LED Screens</t>
  </si>
  <si>
    <t>65" to 85" LED size is based on suitable to the classrooms area or size.</t>
  </si>
  <si>
    <t>CFL Lights</t>
  </si>
  <si>
    <t>Total 6 to 7 Ton Cooling capacity is required (3Ton of each air-condition)</t>
  </si>
  <si>
    <t>White Board</t>
  </si>
  <si>
    <t>As per the Wall area.</t>
  </si>
  <si>
    <t>White board pen and duster</t>
  </si>
  <si>
    <t>Different 3 to 4 colour pen with dusters.</t>
  </si>
  <si>
    <t>Notice Board</t>
  </si>
  <si>
    <t>it can two numbers of big or small in size with multiple counts.</t>
  </si>
  <si>
    <t>Telephone Extension</t>
  </si>
  <si>
    <t>In class room.</t>
  </si>
  <si>
    <t>Cupboard</t>
  </si>
  <si>
    <t>For storage purpose.</t>
  </si>
  <si>
    <t>CCTV Cameras</t>
  </si>
  <si>
    <t>Diagonal placements for clear view or based expert advice.</t>
  </si>
  <si>
    <t>Wall Clock</t>
  </si>
  <si>
    <t>Analog or Digital.</t>
  </si>
  <si>
    <t>Other Stationery</t>
  </si>
  <si>
    <t>Many</t>
  </si>
  <si>
    <t>Pins, Staplers, Punch, Files, A4 Printer Papers.</t>
  </si>
  <si>
    <t>Total</t>
  </si>
  <si>
    <t>Amount is in Lakhs.</t>
  </si>
  <si>
    <t>Table for the Printer</t>
  </si>
  <si>
    <t>Logitech Camera</t>
  </si>
  <si>
    <t>Air Condition</t>
  </si>
  <si>
    <t>Faculty</t>
  </si>
  <si>
    <t>Students</t>
  </si>
  <si>
    <t>Others</t>
  </si>
  <si>
    <t>Computer Lab Setup Details.
Total Class room capacity will be 60 Nos (For Faculty-2Nos and Students-58Nos.)</t>
  </si>
  <si>
    <t>Hardware</t>
  </si>
  <si>
    <t>Software</t>
  </si>
  <si>
    <t>1key comes with 30 users/seats.
Rs.5,75,000/- for the 30Users.
We need to buy 2nos of keys that will 60users.
Main focus is on CorelDraw, MatrixGold with Rhinoceros for jewellery CAD designing.</t>
  </si>
  <si>
    <t>Qty</t>
  </si>
  <si>
    <t>CAD lab size ideally should not exceed more then 30batch size (1-Faculty &amp; 29-Students) for effective training.</t>
  </si>
  <si>
    <t>Other requirements for infrastructure setup.</t>
  </si>
  <si>
    <r>
      <t xml:space="preserve">For CorelDRAW Graphics Suite 2025 – Annual License (₹49,000) in India, here’s how the user entitlement works:
🧑‍💻 License per User / Seat
</t>
    </r>
    <r>
      <rPr>
        <b/>
        <sz val="10"/>
        <color rgb="FFFF0000"/>
        <rFont val="Arial"/>
        <family val="2"/>
      </rPr>
      <t>The ₹49,000 annual subscription license is typically a single-user seat</t>
    </r>
    <r>
      <rPr>
        <b/>
        <sz val="10"/>
        <color theme="1"/>
        <rFont val="Arial"/>
        <family val="2"/>
      </rPr>
      <t xml:space="preserve"> — meaning one license allows one person to use the software on one device. 
IT Solutions &amp; Support Services
In normal usage, each seat must be purchased per user. So if you want 40 students to use the software simultaneously on 40 workstations, you would need 40 separate annual licenses.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</si>
</sst>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2"/>
      <color theme="1"/>
      <name val="Arial"/>
      <family val="2"/>
    </font>
    <font>
      <b/>
      <sz val="12"/>
      <color theme="1"/>
      <name val="Arial"/>
      <family val="2"/>
    </font>
    <font>
      <sz val="10"/>
      <name val="Arial"/>
      <family val="2"/>
    </font>
    <font>
      <sz val="10"/>
      <color theme="1"/>
      <name val="Arial"/>
      <family val="2"/>
    </font>
    <font>
      <b/>
      <sz val="10"/>
      <color rgb="FFFF0000"/>
      <name val="Arial"/>
      <family val="2"/>
    </font>
    <font>
      <b/>
      <sz val="10"/>
      <color theme="1"/>
      <name val="Arial"/>
      <family val="2"/>
    </font>
  </fonts>
  <fills count="5">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9"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3" fillId="0" borderId="0"/>
  </cellStyleXfs>
  <cellXfs count="47">
    <xf numFmtId="0" fontId="0" fillId="0" borderId="0" xfId="0"/>
    <xf numFmtId="0" fontId="1" fillId="0" borderId="1" xfId="0" applyFont="1" applyBorder="1" applyAlignment="1">
      <alignment horizontal="center" vertical="center"/>
    </xf>
    <xf numFmtId="0" fontId="2" fillId="0" borderId="1" xfId="0" applyFont="1" applyBorder="1" applyAlignment="1">
      <alignment vertical="center" wrapText="1"/>
    </xf>
    <xf numFmtId="0" fontId="2" fillId="0" borderId="1" xfId="0" applyFont="1" applyBorder="1" applyAlignment="1">
      <alignment horizontal="center" vertical="center"/>
    </xf>
    <xf numFmtId="4" fontId="2" fillId="0" borderId="1" xfId="0" applyNumberFormat="1" applyFont="1" applyBorder="1" applyAlignment="1">
      <alignment horizontal="center" vertical="center" wrapText="1"/>
    </xf>
    <xf numFmtId="4" fontId="1" fillId="0" borderId="1" xfId="0" applyNumberFormat="1" applyFont="1" applyBorder="1" applyAlignment="1">
      <alignment horizontal="center" vertical="center"/>
    </xf>
    <xf numFmtId="0" fontId="2" fillId="0" borderId="1" xfId="0" applyFont="1" applyBorder="1" applyAlignment="1">
      <alignment horizontal="center" vertical="center" wrapText="1"/>
    </xf>
    <xf numFmtId="4" fontId="2" fillId="0" borderId="1" xfId="0" applyNumberFormat="1" applyFont="1" applyBorder="1" applyAlignment="1">
      <alignment horizontal="center" vertical="center"/>
    </xf>
    <xf numFmtId="0" fontId="4" fillId="0" borderId="1" xfId="0" applyFont="1" applyBorder="1" applyAlignment="1">
      <alignment vertical="center" wrapText="1"/>
    </xf>
    <xf numFmtId="4" fontId="2" fillId="0" borderId="1" xfId="0" applyNumberFormat="1" applyFont="1" applyBorder="1" applyAlignment="1">
      <alignment vertical="center"/>
    </xf>
    <xf numFmtId="4" fontId="2" fillId="2" borderId="1" xfId="0" applyNumberFormat="1" applyFont="1" applyFill="1" applyBorder="1" applyAlignment="1">
      <alignment horizontal="center" vertical="center"/>
    </xf>
    <xf numFmtId="0" fontId="1" fillId="3" borderId="1" xfId="0" applyFont="1" applyFill="1" applyBorder="1" applyAlignment="1">
      <alignment horizontal="center" vertical="center"/>
    </xf>
    <xf numFmtId="0" fontId="1" fillId="3" borderId="1" xfId="0" applyFont="1" applyFill="1" applyBorder="1" applyAlignment="1">
      <alignment vertical="center" wrapText="1"/>
    </xf>
    <xf numFmtId="0" fontId="1" fillId="3" borderId="1" xfId="0" applyFont="1" applyFill="1" applyBorder="1" applyAlignment="1">
      <alignment horizontal="center" vertical="center" wrapText="1"/>
    </xf>
    <xf numFmtId="4" fontId="1" fillId="3" borderId="1" xfId="0" applyNumberFormat="1" applyFont="1" applyFill="1" applyBorder="1" applyAlignment="1">
      <alignment horizontal="center" vertical="center"/>
    </xf>
    <xf numFmtId="0" fontId="1" fillId="3" borderId="1" xfId="0" applyFont="1" applyFill="1" applyBorder="1" applyAlignment="1">
      <alignment vertical="center"/>
    </xf>
    <xf numFmtId="0" fontId="0" fillId="3" borderId="1" xfId="0" applyFill="1" applyBorder="1" applyAlignment="1">
      <alignment horizontal="center" vertical="center"/>
    </xf>
    <xf numFmtId="0" fontId="1" fillId="4" borderId="1" xfId="0" applyFont="1" applyFill="1" applyBorder="1" applyAlignment="1">
      <alignment horizontal="center" vertical="center"/>
    </xf>
    <xf numFmtId="0" fontId="1" fillId="4" borderId="1" xfId="0" applyFont="1" applyFill="1" applyBorder="1" applyAlignment="1">
      <alignment vertical="center"/>
    </xf>
    <xf numFmtId="4" fontId="1" fillId="4" borderId="1" xfId="0" applyNumberFormat="1" applyFont="1" applyFill="1" applyBorder="1" applyAlignment="1">
      <alignment horizontal="center" vertical="center"/>
    </xf>
    <xf numFmtId="0" fontId="1" fillId="4" borderId="1" xfId="0" applyFont="1" applyFill="1" applyBorder="1" applyAlignment="1">
      <alignment vertical="center" wrapText="1"/>
    </xf>
    <xf numFmtId="0" fontId="1" fillId="4" borderId="1"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1" xfId="0" applyFont="1" applyBorder="1" applyAlignment="1">
      <alignment horizontal="center" vertical="center"/>
    </xf>
    <xf numFmtId="0" fontId="1" fillId="4"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3" borderId="1" xfId="0" applyFont="1" applyFill="1" applyBorder="1" applyAlignment="1">
      <alignment horizontal="center" vertical="center" textRotation="90"/>
    </xf>
    <xf numFmtId="0" fontId="2" fillId="4" borderId="1" xfId="0" applyFont="1" applyFill="1" applyBorder="1" applyAlignment="1">
      <alignment horizontal="center" vertical="center" textRotation="90"/>
    </xf>
    <xf numFmtId="0" fontId="1" fillId="3" borderId="1" xfId="0" applyFont="1" applyFill="1" applyBorder="1" applyAlignment="1">
      <alignment horizontal="center" vertical="center"/>
    </xf>
    <xf numFmtId="0" fontId="1" fillId="0" borderId="1" xfId="0" applyFont="1" applyBorder="1" applyAlignment="1">
      <alignment horizontal="center" vertical="center"/>
    </xf>
    <xf numFmtId="0" fontId="2" fillId="0" borderId="1" xfId="0" applyFont="1" applyBorder="1" applyAlignment="1">
      <alignment horizontal="center" vertical="center" textRotation="90"/>
    </xf>
    <xf numFmtId="4" fontId="2" fillId="0" borderId="1" xfId="0" applyNumberFormat="1" applyFont="1" applyBorder="1" applyAlignment="1">
      <alignment horizontal="center" vertical="center"/>
    </xf>
    <xf numFmtId="0" fontId="1" fillId="0" borderId="1" xfId="0" applyFont="1" applyBorder="1" applyAlignment="1">
      <alignment horizontal="left" vertical="center"/>
    </xf>
    <xf numFmtId="0" fontId="6"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E174E-68E1-4949-B665-35C1642E4FD1}">
  <dimension ref="A1:M30"/>
  <sheetViews>
    <sheetView tabSelected="1" zoomScale="75" zoomScaleNormal="75" workbookViewId="0">
      <selection activeCell="Q21" sqref="Q21"/>
    </sheetView>
  </sheetViews>
  <sheetFormatPr defaultRowHeight="14.4" x14ac:dyDescent="0.3"/>
  <cols>
    <col min="3" max="3" width="36.33203125" customWidth="1"/>
    <col min="5" max="5" width="13.33203125" customWidth="1"/>
    <col min="6" max="6" width="12.77734375" customWidth="1"/>
    <col min="8" max="8" width="12.5546875" customWidth="1"/>
    <col min="9" max="9" width="11.5546875" customWidth="1"/>
    <col min="10" max="10" width="11.21875" customWidth="1"/>
    <col min="11" max="11" width="12.6640625" customWidth="1"/>
    <col min="12" max="12" width="12" customWidth="1"/>
    <col min="13" max="13" width="68.77734375" customWidth="1"/>
  </cols>
  <sheetData>
    <row r="1" spans="1:13" ht="15.6" x14ac:dyDescent="0.3">
      <c r="A1" s="22" t="s">
        <v>55</v>
      </c>
      <c r="B1" s="23"/>
      <c r="C1" s="23"/>
      <c r="D1" s="23"/>
      <c r="E1" s="23"/>
      <c r="F1" s="23"/>
      <c r="G1" s="23"/>
      <c r="H1" s="23"/>
      <c r="I1" s="23"/>
      <c r="J1" s="23"/>
      <c r="K1" s="23"/>
      <c r="L1" s="24"/>
      <c r="M1" s="27" t="s">
        <v>60</v>
      </c>
    </row>
    <row r="2" spans="1:13" ht="15.6" x14ac:dyDescent="0.3">
      <c r="A2" s="29" t="s">
        <v>0</v>
      </c>
      <c r="B2" s="31" t="s">
        <v>3</v>
      </c>
      <c r="C2" s="32"/>
      <c r="D2" s="22" t="s">
        <v>52</v>
      </c>
      <c r="E2" s="23"/>
      <c r="F2" s="24"/>
      <c r="G2" s="22" t="s">
        <v>53</v>
      </c>
      <c r="H2" s="23"/>
      <c r="I2" s="24"/>
      <c r="J2" s="22" t="s">
        <v>54</v>
      </c>
      <c r="K2" s="23"/>
      <c r="L2" s="24"/>
      <c r="M2" s="28"/>
    </row>
    <row r="3" spans="1:13" ht="46.8" x14ac:dyDescent="0.3">
      <c r="A3" s="30"/>
      <c r="B3" s="33"/>
      <c r="C3" s="34"/>
      <c r="D3" s="3" t="s">
        <v>59</v>
      </c>
      <c r="E3" s="4" t="s">
        <v>4</v>
      </c>
      <c r="F3" s="4" t="s">
        <v>5</v>
      </c>
      <c r="G3" s="3" t="s">
        <v>59</v>
      </c>
      <c r="H3" s="4" t="s">
        <v>4</v>
      </c>
      <c r="I3" s="4" t="s">
        <v>5</v>
      </c>
      <c r="J3" s="3" t="s">
        <v>59</v>
      </c>
      <c r="K3" s="4" t="s">
        <v>4</v>
      </c>
      <c r="L3" s="4" t="s">
        <v>5</v>
      </c>
      <c r="M3" s="6" t="s">
        <v>1</v>
      </c>
    </row>
    <row r="4" spans="1:13" ht="96.6" customHeight="1" x14ac:dyDescent="0.3">
      <c r="A4" s="37">
        <v>1</v>
      </c>
      <c r="B4" s="35" t="s">
        <v>56</v>
      </c>
      <c r="C4" s="12" t="s">
        <v>2</v>
      </c>
      <c r="D4" s="13">
        <v>2</v>
      </c>
      <c r="E4" s="14">
        <f>137000/100000</f>
        <v>1.37</v>
      </c>
      <c r="F4" s="14">
        <f>D4*E4</f>
        <v>2.74</v>
      </c>
      <c r="G4" s="13">
        <v>58</v>
      </c>
      <c r="H4" s="14">
        <f>137000/100000</f>
        <v>1.37</v>
      </c>
      <c r="I4" s="14">
        <f>G4*H4</f>
        <v>79.460000000000008</v>
      </c>
      <c r="J4" s="13"/>
      <c r="K4" s="14"/>
      <c r="L4" s="14">
        <f>J4*K4</f>
        <v>0</v>
      </c>
      <c r="M4" s="42" t="s">
        <v>6</v>
      </c>
    </row>
    <row r="5" spans="1:13" ht="15" x14ac:dyDescent="0.3">
      <c r="A5" s="37"/>
      <c r="B5" s="35"/>
      <c r="C5" s="15" t="s">
        <v>50</v>
      </c>
      <c r="D5" s="11">
        <v>2</v>
      </c>
      <c r="E5" s="14">
        <f>10000/100000</f>
        <v>0.1</v>
      </c>
      <c r="F5" s="14">
        <f>E5*D5</f>
        <v>0.2</v>
      </c>
      <c r="G5" s="11">
        <v>0</v>
      </c>
      <c r="H5" s="14">
        <f>10000/100000</f>
        <v>0.1</v>
      </c>
      <c r="I5" s="14">
        <f>H5*G5</f>
        <v>0</v>
      </c>
      <c r="J5" s="11"/>
      <c r="K5" s="14"/>
      <c r="L5" s="14">
        <f>K5*J5</f>
        <v>0</v>
      </c>
      <c r="M5" s="43"/>
    </row>
    <row r="6" spans="1:13" ht="15" x14ac:dyDescent="0.3">
      <c r="A6" s="37"/>
      <c r="B6" s="35"/>
      <c r="C6" s="15" t="s">
        <v>11</v>
      </c>
      <c r="D6" s="11">
        <v>0</v>
      </c>
      <c r="E6" s="14"/>
      <c r="F6" s="14"/>
      <c r="G6" s="11"/>
      <c r="H6" s="16"/>
      <c r="I6" s="14">
        <f>G6*K6</f>
        <v>0</v>
      </c>
      <c r="J6" s="11">
        <v>1</v>
      </c>
      <c r="K6" s="14">
        <f>15000/100000</f>
        <v>0.15</v>
      </c>
      <c r="L6" s="14">
        <f>J6*K6</f>
        <v>0.15</v>
      </c>
      <c r="M6" s="42" t="s">
        <v>12</v>
      </c>
    </row>
    <row r="7" spans="1:13" ht="66" x14ac:dyDescent="0.3">
      <c r="A7" s="26">
        <v>2</v>
      </c>
      <c r="B7" s="36" t="s">
        <v>57</v>
      </c>
      <c r="C7" s="18" t="s">
        <v>9</v>
      </c>
      <c r="D7" s="17">
        <v>2</v>
      </c>
      <c r="E7" s="19">
        <f>(575000/100000)/30</f>
        <v>0.19166666666666668</v>
      </c>
      <c r="F7" s="19">
        <f>D7*E7</f>
        <v>0.38333333333333336</v>
      </c>
      <c r="G7" s="17">
        <v>58</v>
      </c>
      <c r="H7" s="19">
        <f>(575000/100000)/30</f>
        <v>0.19166666666666668</v>
      </c>
      <c r="I7" s="19">
        <f>G7*H7</f>
        <v>11.116666666666667</v>
      </c>
      <c r="J7" s="17"/>
      <c r="K7" s="19"/>
      <c r="L7" s="19">
        <f>J7*K7</f>
        <v>0</v>
      </c>
      <c r="M7" s="44" t="s">
        <v>58</v>
      </c>
    </row>
    <row r="8" spans="1:13" ht="118.8" x14ac:dyDescent="0.3">
      <c r="A8" s="26"/>
      <c r="B8" s="36"/>
      <c r="C8" s="20" t="s">
        <v>10</v>
      </c>
      <c r="D8" s="21">
        <v>2</v>
      </c>
      <c r="E8" s="19">
        <f>49000/100000</f>
        <v>0.49</v>
      </c>
      <c r="F8" s="19">
        <f>D8*E8</f>
        <v>0.98</v>
      </c>
      <c r="G8" s="21">
        <v>58</v>
      </c>
      <c r="H8" s="19">
        <f>49000/100000</f>
        <v>0.49</v>
      </c>
      <c r="I8" s="19">
        <f>G8*H8</f>
        <v>28.419999999999998</v>
      </c>
      <c r="J8" s="21"/>
      <c r="K8" s="19"/>
      <c r="L8" s="19">
        <f>J8*K8</f>
        <v>0</v>
      </c>
      <c r="M8" s="44" t="s">
        <v>62</v>
      </c>
    </row>
    <row r="9" spans="1:13" ht="15.6" x14ac:dyDescent="0.3">
      <c r="A9" s="40" t="s">
        <v>47</v>
      </c>
      <c r="B9" s="40"/>
      <c r="C9" s="40"/>
      <c r="D9" s="40"/>
      <c r="E9" s="7">
        <f>SUM(E4:E8)</f>
        <v>2.1516666666666668</v>
      </c>
      <c r="F9" s="10">
        <f>SUM(F4:F6,F7:F8)</f>
        <v>4.3033333333333337</v>
      </c>
      <c r="G9" s="9"/>
      <c r="H9" s="7">
        <f>SUM(H4,H5,H7,H8)</f>
        <v>2.1516666666666668</v>
      </c>
      <c r="I9" s="10">
        <f>SUM(I4:I6,I7:I8)</f>
        <v>118.99666666666668</v>
      </c>
      <c r="J9" s="40"/>
      <c r="K9" s="40"/>
      <c r="L9" s="10">
        <f>SUM(L4:L6,L7:L8)</f>
        <v>0.15</v>
      </c>
      <c r="M9" s="8"/>
    </row>
    <row r="10" spans="1:13" ht="15" x14ac:dyDescent="0.3">
      <c r="A10" s="38">
        <v>3</v>
      </c>
      <c r="B10" s="39" t="s">
        <v>61</v>
      </c>
      <c r="C10" s="41" t="s">
        <v>7</v>
      </c>
      <c r="D10" s="1"/>
      <c r="E10" s="5"/>
      <c r="F10" s="5"/>
      <c r="G10" s="1"/>
      <c r="H10" s="5"/>
      <c r="I10" s="5"/>
      <c r="J10" s="1"/>
      <c r="K10" s="5"/>
      <c r="L10" s="5"/>
      <c r="M10" s="45" t="s">
        <v>8</v>
      </c>
    </row>
    <row r="11" spans="1:13" ht="15" x14ac:dyDescent="0.3">
      <c r="A11" s="38"/>
      <c r="B11" s="39"/>
      <c r="C11" s="41" t="s">
        <v>13</v>
      </c>
      <c r="D11" s="1"/>
      <c r="E11" s="5"/>
      <c r="F11" s="5"/>
      <c r="G11" s="1"/>
      <c r="H11" s="5"/>
      <c r="I11" s="5"/>
      <c r="J11" s="1">
        <v>60</v>
      </c>
      <c r="K11" s="5"/>
      <c r="L11" s="5"/>
      <c r="M11" s="46" t="s">
        <v>14</v>
      </c>
    </row>
    <row r="12" spans="1:13" ht="15" x14ac:dyDescent="0.3">
      <c r="A12" s="38"/>
      <c r="B12" s="39"/>
      <c r="C12" s="41" t="s">
        <v>15</v>
      </c>
      <c r="D12" s="1"/>
      <c r="E12" s="5"/>
      <c r="F12" s="5"/>
      <c r="G12" s="1"/>
      <c r="H12" s="5"/>
      <c r="I12" s="5"/>
      <c r="J12" s="1">
        <v>60</v>
      </c>
      <c r="K12" s="5"/>
      <c r="L12" s="5"/>
      <c r="M12" s="46"/>
    </row>
    <row r="13" spans="1:13" ht="15" x14ac:dyDescent="0.3">
      <c r="A13" s="38"/>
      <c r="B13" s="39"/>
      <c r="C13" s="41" t="s">
        <v>49</v>
      </c>
      <c r="D13" s="1"/>
      <c r="E13" s="5"/>
      <c r="F13" s="5"/>
      <c r="G13" s="1"/>
      <c r="H13" s="5"/>
      <c r="I13" s="5"/>
      <c r="J13" s="1">
        <v>1</v>
      </c>
      <c r="K13" s="5"/>
      <c r="L13" s="5"/>
      <c r="M13" s="8"/>
    </row>
    <row r="14" spans="1:13" ht="32.4" customHeight="1" x14ac:dyDescent="0.3">
      <c r="A14" s="38"/>
      <c r="B14" s="39"/>
      <c r="C14" s="41" t="s">
        <v>16</v>
      </c>
      <c r="D14" s="1"/>
      <c r="E14" s="5"/>
      <c r="F14" s="5"/>
      <c r="G14" s="1"/>
      <c r="H14" s="5"/>
      <c r="I14" s="5"/>
      <c r="J14" s="1">
        <v>2</v>
      </c>
      <c r="K14" s="5"/>
      <c r="L14" s="5"/>
      <c r="M14" s="45" t="s">
        <v>17</v>
      </c>
    </row>
    <row r="15" spans="1:13" ht="37.200000000000003" customHeight="1" x14ac:dyDescent="0.3">
      <c r="A15" s="38"/>
      <c r="B15" s="39"/>
      <c r="C15" s="41" t="s">
        <v>18</v>
      </c>
      <c r="D15" s="1"/>
      <c r="E15" s="5"/>
      <c r="F15" s="5"/>
      <c r="G15" s="1"/>
      <c r="H15" s="5"/>
      <c r="I15" s="5"/>
      <c r="J15" s="1">
        <v>65</v>
      </c>
      <c r="K15" s="5"/>
      <c r="L15" s="5"/>
      <c r="M15" s="45" t="s">
        <v>19</v>
      </c>
    </row>
    <row r="16" spans="1:13" ht="28.2" customHeight="1" x14ac:dyDescent="0.3">
      <c r="A16" s="38"/>
      <c r="B16" s="39"/>
      <c r="C16" s="41" t="s">
        <v>20</v>
      </c>
      <c r="D16" s="1"/>
      <c r="E16" s="5"/>
      <c r="F16" s="5"/>
      <c r="G16" s="1"/>
      <c r="H16" s="5"/>
      <c r="I16" s="5"/>
      <c r="J16" s="1">
        <v>2</v>
      </c>
      <c r="K16" s="5"/>
      <c r="L16" s="5"/>
      <c r="M16" s="45" t="s">
        <v>21</v>
      </c>
    </row>
    <row r="17" spans="1:13" ht="43.8" customHeight="1" x14ac:dyDescent="0.3">
      <c r="A17" s="38"/>
      <c r="B17" s="39"/>
      <c r="C17" s="41" t="s">
        <v>22</v>
      </c>
      <c r="D17" s="1"/>
      <c r="E17" s="5"/>
      <c r="F17" s="5"/>
      <c r="G17" s="1"/>
      <c r="H17" s="5"/>
      <c r="I17" s="5"/>
      <c r="J17" s="1">
        <v>6</v>
      </c>
      <c r="K17" s="5"/>
      <c r="L17" s="5"/>
      <c r="M17" s="45" t="s">
        <v>23</v>
      </c>
    </row>
    <row r="18" spans="1:13" ht="28.2" customHeight="1" x14ac:dyDescent="0.3">
      <c r="A18" s="38"/>
      <c r="B18" s="39"/>
      <c r="C18" s="41" t="s">
        <v>24</v>
      </c>
      <c r="D18" s="1"/>
      <c r="E18" s="5"/>
      <c r="F18" s="5"/>
      <c r="G18" s="1"/>
      <c r="H18" s="5"/>
      <c r="I18" s="5"/>
      <c r="J18" s="1">
        <v>2</v>
      </c>
      <c r="K18" s="5"/>
      <c r="L18" s="5"/>
      <c r="M18" s="45" t="s">
        <v>25</v>
      </c>
    </row>
    <row r="19" spans="1:13" ht="33.6" customHeight="1" x14ac:dyDescent="0.3">
      <c r="A19" s="38"/>
      <c r="B19" s="39"/>
      <c r="C19" s="41" t="s">
        <v>26</v>
      </c>
      <c r="D19" s="1"/>
      <c r="E19" s="5"/>
      <c r="F19" s="5"/>
      <c r="G19" s="1"/>
      <c r="H19" s="5"/>
      <c r="I19" s="5"/>
      <c r="J19" s="1">
        <v>2</v>
      </c>
      <c r="K19" s="5"/>
      <c r="L19" s="5"/>
      <c r="M19" s="45" t="s">
        <v>27</v>
      </c>
    </row>
    <row r="20" spans="1:13" ht="27" customHeight="1" x14ac:dyDescent="0.3">
      <c r="A20" s="38"/>
      <c r="B20" s="39"/>
      <c r="C20" s="41" t="s">
        <v>28</v>
      </c>
      <c r="D20" s="1"/>
      <c r="E20" s="5"/>
      <c r="F20" s="5"/>
      <c r="G20" s="1"/>
      <c r="H20" s="5"/>
      <c r="I20" s="5"/>
      <c r="J20" s="1">
        <v>10</v>
      </c>
      <c r="K20" s="5"/>
      <c r="L20" s="5"/>
      <c r="M20" s="45"/>
    </row>
    <row r="21" spans="1:13" ht="31.2" customHeight="1" x14ac:dyDescent="0.3">
      <c r="A21" s="38"/>
      <c r="B21" s="39"/>
      <c r="C21" s="41" t="s">
        <v>51</v>
      </c>
      <c r="D21" s="1"/>
      <c r="E21" s="5"/>
      <c r="F21" s="5"/>
      <c r="G21" s="1"/>
      <c r="H21" s="5"/>
      <c r="I21" s="5"/>
      <c r="J21" s="1">
        <v>2</v>
      </c>
      <c r="K21" s="5"/>
      <c r="L21" s="5"/>
      <c r="M21" s="45" t="s">
        <v>29</v>
      </c>
    </row>
    <row r="22" spans="1:13" ht="32.4" customHeight="1" x14ac:dyDescent="0.3">
      <c r="A22" s="38"/>
      <c r="B22" s="39"/>
      <c r="C22" s="41" t="s">
        <v>30</v>
      </c>
      <c r="D22" s="1"/>
      <c r="E22" s="5"/>
      <c r="F22" s="5"/>
      <c r="G22" s="1"/>
      <c r="H22" s="5"/>
      <c r="I22" s="5"/>
      <c r="J22" s="1">
        <v>2</v>
      </c>
      <c r="K22" s="5"/>
      <c r="L22" s="5"/>
      <c r="M22" s="45" t="s">
        <v>31</v>
      </c>
    </row>
    <row r="23" spans="1:13" ht="22.8" customHeight="1" x14ac:dyDescent="0.3">
      <c r="A23" s="38"/>
      <c r="B23" s="39"/>
      <c r="C23" s="41" t="s">
        <v>32</v>
      </c>
      <c r="D23" s="1"/>
      <c r="E23" s="5"/>
      <c r="F23" s="5"/>
      <c r="G23" s="1"/>
      <c r="H23" s="5"/>
      <c r="I23" s="5"/>
      <c r="J23" s="1">
        <v>3</v>
      </c>
      <c r="K23" s="5"/>
      <c r="L23" s="5"/>
      <c r="M23" s="45" t="s">
        <v>33</v>
      </c>
    </row>
    <row r="24" spans="1:13" ht="35.4" customHeight="1" x14ac:dyDescent="0.3">
      <c r="A24" s="38"/>
      <c r="B24" s="39"/>
      <c r="C24" s="41" t="s">
        <v>34</v>
      </c>
      <c r="D24" s="1"/>
      <c r="E24" s="5"/>
      <c r="F24" s="5"/>
      <c r="G24" s="1"/>
      <c r="H24" s="5"/>
      <c r="I24" s="5"/>
      <c r="J24" s="1" t="s">
        <v>45</v>
      </c>
      <c r="K24" s="5"/>
      <c r="L24" s="5"/>
      <c r="M24" s="45" t="s">
        <v>35</v>
      </c>
    </row>
    <row r="25" spans="1:13" ht="29.4" customHeight="1" x14ac:dyDescent="0.3">
      <c r="A25" s="38"/>
      <c r="B25" s="39"/>
      <c r="C25" s="41" t="s">
        <v>36</v>
      </c>
      <c r="D25" s="1"/>
      <c r="E25" s="5"/>
      <c r="F25" s="5"/>
      <c r="G25" s="1"/>
      <c r="H25" s="5"/>
      <c r="I25" s="5"/>
      <c r="J25" s="1">
        <v>2</v>
      </c>
      <c r="K25" s="5"/>
      <c r="L25" s="5"/>
      <c r="M25" s="45" t="s">
        <v>37</v>
      </c>
    </row>
    <row r="26" spans="1:13" ht="24.6" customHeight="1" x14ac:dyDescent="0.3">
      <c r="A26" s="38"/>
      <c r="B26" s="39"/>
      <c r="C26" s="41" t="s">
        <v>38</v>
      </c>
      <c r="D26" s="1"/>
      <c r="E26" s="5"/>
      <c r="F26" s="5"/>
      <c r="G26" s="1"/>
      <c r="H26" s="5"/>
      <c r="I26" s="5"/>
      <c r="J26" s="1">
        <v>2</v>
      </c>
      <c r="K26" s="5"/>
      <c r="L26" s="5"/>
      <c r="M26" s="45" t="s">
        <v>39</v>
      </c>
    </row>
    <row r="27" spans="1:13" ht="15" x14ac:dyDescent="0.3">
      <c r="A27" s="38"/>
      <c r="B27" s="39"/>
      <c r="C27" s="41" t="s">
        <v>40</v>
      </c>
      <c r="D27" s="1"/>
      <c r="E27" s="5"/>
      <c r="F27" s="5"/>
      <c r="G27" s="1"/>
      <c r="H27" s="5"/>
      <c r="I27" s="5"/>
      <c r="J27" s="1" t="s">
        <v>45</v>
      </c>
      <c r="K27" s="5"/>
      <c r="L27" s="5"/>
      <c r="M27" s="45" t="s">
        <v>41</v>
      </c>
    </row>
    <row r="28" spans="1:13" ht="15" x14ac:dyDescent="0.3">
      <c r="A28" s="38"/>
      <c r="B28" s="39"/>
      <c r="C28" s="41" t="s">
        <v>42</v>
      </c>
      <c r="D28" s="1"/>
      <c r="E28" s="5"/>
      <c r="F28" s="5"/>
      <c r="G28" s="1"/>
      <c r="H28" s="5"/>
      <c r="I28" s="5"/>
      <c r="J28" s="1">
        <v>2</v>
      </c>
      <c r="K28" s="5"/>
      <c r="L28" s="5"/>
      <c r="M28" s="45" t="s">
        <v>43</v>
      </c>
    </row>
    <row r="29" spans="1:13" ht="15" x14ac:dyDescent="0.3">
      <c r="A29" s="38"/>
      <c r="B29" s="39"/>
      <c r="C29" s="41" t="s">
        <v>44</v>
      </c>
      <c r="D29" s="1"/>
      <c r="E29" s="5"/>
      <c r="F29" s="5"/>
      <c r="G29" s="1"/>
      <c r="H29" s="5"/>
      <c r="I29" s="5"/>
      <c r="J29" s="1" t="s">
        <v>45</v>
      </c>
      <c r="K29" s="5"/>
      <c r="L29" s="5"/>
      <c r="M29" s="45" t="s">
        <v>46</v>
      </c>
    </row>
    <row r="30" spans="1:13" ht="15.6" x14ac:dyDescent="0.3">
      <c r="A30" s="25" t="s">
        <v>47</v>
      </c>
      <c r="B30" s="25"/>
      <c r="C30" s="25"/>
      <c r="D30" s="3"/>
      <c r="E30" s="7"/>
      <c r="F30" s="10">
        <f>SUM(F4,F5,F10,F7,F8,F6,F11:F29)</f>
        <v>4.3033333333333337</v>
      </c>
      <c r="G30" s="3"/>
      <c r="H30" s="7"/>
      <c r="I30" s="10">
        <f>SUM(I4,I5,I10,I7,I8,I6,I11:I29)</f>
        <v>118.99666666666668</v>
      </c>
      <c r="J30" s="3"/>
      <c r="K30" s="7"/>
      <c r="L30" s="10">
        <f>SUM(L4,L5,L10,L7,L8,L6,L11:L29)</f>
        <v>0.15</v>
      </c>
      <c r="M30" s="2" t="s">
        <v>48</v>
      </c>
    </row>
  </sheetData>
  <mergeCells count="17">
    <mergeCell ref="A1:L1"/>
    <mergeCell ref="M1:M2"/>
    <mergeCell ref="A2:A3"/>
    <mergeCell ref="B2:C3"/>
    <mergeCell ref="D2:F2"/>
    <mergeCell ref="G2:I2"/>
    <mergeCell ref="J2:L2"/>
    <mergeCell ref="A10:A29"/>
    <mergeCell ref="B10:B29"/>
    <mergeCell ref="M11:M12"/>
    <mergeCell ref="A30:C30"/>
    <mergeCell ref="A4:A6"/>
    <mergeCell ref="B4:B6"/>
    <mergeCell ref="A7:A8"/>
    <mergeCell ref="B7:B8"/>
    <mergeCell ref="A9:D9"/>
    <mergeCell ref="J9:K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Formatted Department of CAD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2026-02-04T04:43:04Z</dcterms:modified>
</cp:coreProperties>
</file>